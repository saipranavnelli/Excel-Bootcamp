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firstSheet="3" activeTab="3"/>
  </bookViews>
  <sheets>
    <sheet name="Raw Data" sheetId="1" r:id="rId1"/>
    <sheet name="Bad Data" sheetId="13" r:id="rId2"/>
    <sheet name="AutoFit" sheetId="2" r:id="rId3"/>
    <sheet name="Remove Duplicates" sheetId="3" r:id="rId4"/>
    <sheet name="Trim Extra Spaces " sheetId="4" r:id="rId5"/>
    <sheet name="Eliminate Blank Cells " sheetId="5" r:id="rId6"/>
    <sheet name="Spell Check" sheetId="6" r:id="rId7"/>
    <sheet name="Data Validation" sheetId="7" r:id="rId8"/>
    <sheet name="Table " sheetId="8" r:id="rId9"/>
    <sheet name="IFERROR" sheetId="9" r:id="rId10"/>
    <sheet name="Number Formats" sheetId="10" r:id="rId11"/>
    <sheet name="Find &amp; Replace" sheetId="11" r:id="rId12"/>
    <sheet name="Raw Data 2 " sheetId="14" r:id="rId13"/>
    <sheet name="Pivot Table " sheetId="15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4" l="1"/>
  <c r="K19" i="14"/>
  <c r="K18" i="14"/>
  <c r="K17" i="14"/>
  <c r="K15" i="14"/>
  <c r="K14" i="14"/>
  <c r="K11" i="14"/>
  <c r="K10" i="14"/>
  <c r="K9" i="14"/>
  <c r="K6" i="14"/>
  <c r="K5" i="14"/>
  <c r="K4" i="14"/>
  <c r="K3" i="14"/>
  <c r="K2" i="14"/>
  <c r="D21" i="13"/>
  <c r="L76" i="1"/>
  <c r="L77" i="1"/>
  <c r="L82" i="1"/>
  <c r="H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31" i="11" s="1"/>
  <c r="H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31" i="10" s="1"/>
  <c r="H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31" i="9" s="1"/>
  <c r="H31" i="8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<sst xmlns="http://schemas.openxmlformats.org/spreadsheetml/2006/main" count="1857" uniqueCount="400">
  <si>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</si>
  <si>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</si>
  <si>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</si>
  <si>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</si>
  <si>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</si>
  <si>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</si>
  <si>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</si>
  <si>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</si>
  <si>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</si>
  <si>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</si>
  <si>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</si>
  <si>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</si>
  <si>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</si>
  <si>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</si>
  <si>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</si>
  <si>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</si>
  <si>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</si>
  <si>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</si>
  <si>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</si>
  <si>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</si>
  <si>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</si>
  <si>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</si>
  <si>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</si>
  <si>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</si>
  <si>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</si>
  <si>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</si>
  <si>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</si>
  <si>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</si>
  <si>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</si>
  <si>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</si>
  <si>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</si>
  <si>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</si>
  <si>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</si>
  <si>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</si>
  <si>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</si>
  <si>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</si>
  <si>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</si>
  <si>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</si>
  <si>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</si>
  <si>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</si>
  <si>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</si>
  <si>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</si>
  <si>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</si>
  <si>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</si>
  <si>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</si>
  <si>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</si>
  <si>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</si>
  <si>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</si>
  <si>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</si>
  <si>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</si>
  <si>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</si>
  <si>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</si>
  <si>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</si>
  <si>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</si>
  <si>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</si>
  <si>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</si>
  <si>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</si>
  <si>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</si>
  <si>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</si>
  <si>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</si>
  <si>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</si>
  <si>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</si>
  <si>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</si>
  <si>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</si>
  <si>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</si>
  <si>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</si>
  <si>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</si>
  <si>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</si>
  <si>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</si>
  <si>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</si>
  <si>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</si>
  <si>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</si>
  <si>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</si>
  <si>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</si>
  <si>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</si>
  <si>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</si>
  <si>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Remove Duplicates</t>
  </si>
  <si>
    <t>Trim Extra Spaces</t>
  </si>
  <si>
    <t>Trimmed Name</t>
  </si>
  <si>
    <t>Eliminate Blank Cells</t>
  </si>
  <si>
    <t>John Smith</t>
  </si>
  <si>
    <t>Mike Tyson</t>
  </si>
  <si>
    <t>Anna Belle</t>
  </si>
  <si>
    <t>Peter Parker</t>
  </si>
  <si>
    <t>TBA</t>
  </si>
  <si>
    <t>Spell Check</t>
  </si>
  <si>
    <t>Excellent</t>
  </si>
  <si>
    <t>Data Validation</t>
  </si>
  <si>
    <t>Use Excel Tables</t>
  </si>
  <si>
    <t>Total</t>
  </si>
  <si>
    <t>Use IFERROR</t>
  </si>
  <si>
    <t>Sales</t>
  </si>
  <si>
    <t>Number Formats</t>
  </si>
  <si>
    <t>Find &amp; Replace</t>
  </si>
  <si>
    <t>1. Identify &amp; Remove Duplicates: Avoid wrong analysis</t>
  </si>
  <si>
    <t>1. Identify duplicates</t>
  </si>
  <si>
    <t>2. Arrive at duplicate–free data</t>
  </si>
  <si>
    <t>3. Select the column with duplicate data &gt; Home tab &gt; Conditional Formatting &gt; Highlight Cell Rules &gt; Duplicate Values</t>
  </si>
  <si>
    <t>4. Assess the highlighted duplicate values</t>
  </si>
  <si>
    <t>5. Data tab &gt; Remove Duplicates &gt; Delete duplicate values</t>
  </si>
  <si>
    <t>2. Trim Extra Spaces: Avoid formula errors caused by rogue spaces</t>
  </si>
  <si>
    <t>1. Insert a new column</t>
  </si>
  <si>
    <t>2. Use Trim function on the original data</t>
  </si>
  <si>
    <t>3. Paste as values the trimmed data to the original data. (Microsoft 365 users can use CTRL + SHIFT + V to preserve formatting)</t>
  </si>
  <si>
    <t>3. Fill Blank Cells: Prevent unforeseen analysis disruptions</t>
  </si>
  <si>
    <t>1. Select the column with blanks: Home &gt; Find &amp; Select &gt; Go To Special &gt; Blanks (or CTRL+G)</t>
  </si>
  <si>
    <t>2. Fill in a placeholder: e.g., TBA &gt; Press CTRL+ENTER</t>
  </si>
  <si>
    <t>4. Handle Errors with IFERROR: Avoid messy errors</t>
  </si>
  <si>
    <t>1. Select data &gt; CTRL+T to insert table (Optional step - enables easy-to-read structured references)</t>
  </si>
  <si>
    <t>2. Wrap your formula in the IFERROR function to avoid error message when dealing with missing or non-numeric values such as "inf"</t>
  </si>
  <si>
    <t>5. Use Appropriate Number Formats: Minimize clutter</t>
  </si>
  <si>
    <t>1. Use “Short Date format” if time component is not required</t>
  </si>
  <si>
    <t>2. Avoid Currency format – Use “Number” or “General” formats to declutter currency symbol from each row of your data</t>
  </si>
  <si>
    <t>3. CTRL+1 &gt; Select “Number” format &gt; Check “Use 1000 Separator”</t>
  </si>
  <si>
    <t>4. Use the currency symbol in the column headers</t>
  </si>
  <si>
    <t>6. Find &amp; Replace: Replace unwanted values in one-go</t>
  </si>
  <si>
    <r>
      <t>Shortcut:</t>
    </r>
    <r>
      <rPr>
        <sz val="11"/>
        <color theme="1"/>
        <rFont val="Calibri"/>
        <family val="2"/>
        <scheme val="minor"/>
      </rPr>
      <t xml:space="preserve"> CTRL + H</t>
    </r>
  </si>
  <si>
    <t>Create a Region dropdown (List)</t>
  </si>
  <si>
    <r>
      <t>Goal:</t>
    </r>
    <r>
      <rPr>
        <sz val="11"/>
        <color theme="1"/>
        <rFont val="Calibri"/>
        <family val="2"/>
        <scheme val="minor"/>
      </rPr>
      <t xml:space="preserve"> Only allow </t>
    </r>
    <r>
      <rPr>
        <sz val="10"/>
        <color theme="1"/>
        <rFont val="Arial Unicode MS"/>
        <family val="2"/>
      </rPr>
      <t>North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South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East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West</t>
    </r>
    <r>
      <rPr>
        <sz val="11"/>
        <color theme="1"/>
        <rFont val="Calibri"/>
        <family val="2"/>
        <scheme val="minor"/>
      </rPr>
      <t>.</t>
    </r>
  </si>
  <si>
    <t>Method 1 — Quick (type values directly):</t>
  </si>
  <si>
    <r>
      <t xml:space="preserve">1. With the Region cells selected →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tab → </t>
    </r>
    <r>
      <rPr>
        <b/>
        <sz val="11"/>
        <color theme="1"/>
        <rFont val="Calibri"/>
        <family val="2"/>
        <scheme val="minor"/>
      </rPr>
      <t>Data Validation</t>
    </r>
    <r>
      <rPr>
        <sz val="11"/>
        <color theme="1"/>
        <rFont val="Calibri"/>
        <family val="2"/>
        <scheme val="minor"/>
      </rPr>
      <t xml:space="preserve"> (button).</t>
    </r>
  </si>
  <si>
    <r>
      <t xml:space="preserve">2. In the dialog </t>
    </r>
    <r>
      <rPr>
        <b/>
        <sz val="11"/>
        <color theme="1"/>
        <rFont val="Calibri"/>
        <family val="2"/>
        <scheme val="minor"/>
      </rPr>
      <t>Settings</t>
    </r>
    <r>
      <rPr>
        <sz val="11"/>
        <color theme="1"/>
        <rFont val="Calibri"/>
        <family val="2"/>
        <scheme val="minor"/>
      </rPr>
      <t xml:space="preserve"> tab:</t>
    </r>
  </si>
  <si>
    <r>
      <t>Allow:</t>
    </r>
    <r>
      <rPr>
        <sz val="11"/>
        <color theme="1"/>
        <rFont val="Calibri"/>
        <family val="2"/>
        <scheme val="minor"/>
      </rPr>
      <t xml:space="preserve"> choose </t>
    </r>
    <r>
      <rPr>
        <b/>
        <sz val="11"/>
        <color theme="1"/>
        <rFont val="Calibri"/>
        <family val="2"/>
        <scheme val="minor"/>
      </rPr>
      <t>List</t>
    </r>
  </si>
  <si>
    <r>
      <t>Source:</t>
    </r>
    <r>
      <rPr>
        <sz val="11"/>
        <color theme="1"/>
        <rFont val="Calibri"/>
        <family val="2"/>
        <scheme val="minor"/>
      </rPr>
      <t xml:space="preserve"> type </t>
    </r>
    <r>
      <rPr>
        <sz val="10"/>
        <color theme="1"/>
        <rFont val="Arial Unicode MS"/>
        <family val="2"/>
      </rPr>
      <t>North,South,East,West</t>
    </r>
  </si>
  <si>
    <r>
      <t xml:space="preserve">Make sure </t>
    </r>
    <r>
      <rPr>
        <b/>
        <sz val="11"/>
        <color theme="1"/>
        <rFont val="Calibri"/>
        <family val="2"/>
        <scheme val="minor"/>
      </rPr>
      <t>Ignore blank</t>
    </r>
    <r>
      <rPr>
        <sz val="11"/>
        <color theme="1"/>
        <rFont val="Calibri"/>
        <family val="2"/>
        <scheme val="minor"/>
      </rPr>
      <t xml:space="preserve"> is checked if blanks are allowed.</t>
    </r>
  </si>
  <si>
    <r>
      <t xml:space="preserve">Check </t>
    </r>
    <r>
      <rPr>
        <b/>
        <sz val="11"/>
        <color theme="1"/>
        <rFont val="Calibri"/>
        <family val="2"/>
        <scheme val="minor"/>
      </rPr>
      <t>In-cell dropdown</t>
    </r>
    <r>
      <rPr>
        <sz val="11"/>
        <color theme="1"/>
        <rFont val="Calibri"/>
        <family val="2"/>
        <scheme val="minor"/>
      </rPr>
      <t xml:space="preserve"> (so users see the arrow).</t>
    </r>
  </si>
  <si>
    <r>
      <t xml:space="preserve">3.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</si>
  <si>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🧠 1️⃣ What is “Data”?</t>
  </si>
  <si>
    <r>
      <t>Data</t>
    </r>
    <r>
      <rPr>
        <sz val="11"/>
        <color theme="1"/>
        <rFont val="Calibri"/>
        <family val="2"/>
        <scheme val="minor"/>
      </rPr>
      <t xml:space="preserve"> simply means </t>
    </r>
    <r>
      <rPr>
        <i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collected from various sources — like sales, surveys, sensors, or website clicks.</t>
    </r>
  </si>
  <si>
    <t>It can be in the form of:</t>
  </si>
  <si>
    <t>Numbers (Quantities, Prices)</t>
  </si>
  <si>
    <t>Text (Names, Products, Regions)</t>
  </si>
  <si>
    <t>Dates (Transaction dates)</t>
  </si>
  <si>
    <t>Categories (Ratings)</t>
  </si>
  <si>
    <t>👉 In your example:</t>
  </si>
  <si>
    <t>Date, ID, Name, Region, Rating, Product, Quantity, Price Per Unit</t>
  </si>
  <si>
    <r>
      <t xml:space="preserve">Each column is a </t>
    </r>
    <r>
      <rPr>
        <b/>
        <sz val="11"/>
        <color theme="1"/>
        <rFont val="Calibri"/>
        <family val="2"/>
        <scheme val="minor"/>
      </rPr>
      <t>variable</t>
    </r>
    <r>
      <rPr>
        <sz val="11"/>
        <color theme="1"/>
        <rFont val="Calibri"/>
        <family val="2"/>
        <scheme val="minor"/>
      </rPr>
      <t xml:space="preserve"> (type of information), and each row is a </t>
    </r>
    <r>
      <rPr>
        <b/>
        <sz val="11"/>
        <color theme="1"/>
        <rFont val="Calibri"/>
        <family val="2"/>
        <scheme val="minor"/>
      </rPr>
      <t>record</t>
    </r>
    <r>
      <rPr>
        <sz val="11"/>
        <color theme="1"/>
        <rFont val="Calibri"/>
        <family val="2"/>
        <scheme val="minor"/>
      </rPr>
      <t xml:space="preserve"> (one observation or transaction).</t>
    </r>
  </si>
  <si>
    <t>📊 2️⃣ Why do we use Data in Analysis?</t>
  </si>
  <si>
    <r>
      <t xml:space="preserve">Data helps us make </t>
    </r>
    <r>
      <rPr>
        <b/>
        <sz val="11"/>
        <color theme="1"/>
        <rFont val="Calibri"/>
        <family val="2"/>
        <scheme val="minor"/>
      </rPr>
      <t>informed decisions</t>
    </r>
    <r>
      <rPr>
        <sz val="11"/>
        <color theme="1"/>
        <rFont val="Calibri"/>
        <family val="2"/>
        <scheme val="minor"/>
      </rPr>
      <t xml:space="preserve"> rather than guessing.</t>
    </r>
  </si>
  <si>
    <t>Examples using your dataset:</t>
  </si>
  <si>
    <r>
      <t xml:space="preserve">Find </t>
    </r>
    <r>
      <rPr>
        <b/>
        <sz val="11"/>
        <color theme="1"/>
        <rFont val="Calibri"/>
        <family val="2"/>
        <scheme val="minor"/>
      </rPr>
      <t>best-selling products</t>
    </r>
  </si>
  <si>
    <r>
      <t xml:space="preserve">Identify </t>
    </r>
    <r>
      <rPr>
        <b/>
        <sz val="11"/>
        <color theme="1"/>
        <rFont val="Calibri"/>
        <family val="2"/>
        <scheme val="minor"/>
      </rPr>
      <t>regions with poor ratings</t>
    </r>
  </si>
  <si>
    <r>
      <t xml:space="preserve">Calculate </t>
    </r>
    <r>
      <rPr>
        <b/>
        <sz val="11"/>
        <color theme="1"/>
        <rFont val="Calibri"/>
        <family val="2"/>
        <scheme val="minor"/>
      </rPr>
      <t>total revenue</t>
    </r>
    <r>
      <rPr>
        <sz val="11"/>
        <color theme="1"/>
        <rFont val="Calibri"/>
        <family val="2"/>
        <scheme val="minor"/>
      </rPr>
      <t xml:space="preserve"> = Quantity × Price</t>
    </r>
  </si>
  <si>
    <r>
      <t xml:space="preserve">Track </t>
    </r>
    <r>
      <rPr>
        <b/>
        <sz val="11"/>
        <color theme="1"/>
        <rFont val="Calibri"/>
        <family val="2"/>
        <scheme val="minor"/>
      </rPr>
      <t>sales trends</t>
    </r>
    <r>
      <rPr>
        <sz val="11"/>
        <color theme="1"/>
        <rFont val="Calibri"/>
        <family val="2"/>
        <scheme val="minor"/>
      </rPr>
      <t xml:space="preserve"> month by month</t>
    </r>
  </si>
  <si>
    <t>Without data, decisions would rely on opinion or assumptions.</t>
  </si>
  <si>
    <r>
      <t xml:space="preserve">🧹 3️⃣ Why do we need to </t>
    </r>
    <r>
      <rPr>
        <b/>
        <i/>
        <sz val="18"/>
        <color theme="1"/>
        <rFont val="Calibri"/>
        <family val="2"/>
        <scheme val="minor"/>
      </rPr>
      <t>clean</t>
    </r>
    <r>
      <rPr>
        <b/>
        <sz val="18"/>
        <color theme="1"/>
        <rFont val="Calibri"/>
        <family val="2"/>
        <scheme val="minor"/>
      </rPr>
      <t xml:space="preserve"> Data?</t>
    </r>
  </si>
  <si>
    <r>
      <t xml:space="preserve">Because </t>
    </r>
    <r>
      <rPr>
        <b/>
        <sz val="11"/>
        <color theme="1"/>
        <rFont val="Calibri"/>
        <family val="2"/>
        <scheme val="minor"/>
      </rPr>
      <t>real-world data is never perfect.</t>
    </r>
  </si>
  <si>
    <r>
      <t xml:space="preserve">When data comes from multiple sources or is entered manually, it contains </t>
    </r>
    <r>
      <rPr>
        <b/>
        <sz val="11"/>
        <color theme="1"/>
        <rFont val="Calibri"/>
        <family val="2"/>
        <scheme val="minor"/>
      </rPr>
      <t>errors, duplicates, blanks, or inconsistencies</t>
    </r>
    <r>
      <rPr>
        <sz val="11"/>
        <color theme="1"/>
        <rFont val="Calibri"/>
        <family val="2"/>
        <scheme val="minor"/>
      </rPr>
      <t xml:space="preserve"> — just like in your dataset.</t>
    </r>
  </si>
  <si>
    <t>Here’s what’s wrong in your file 👇</t>
  </si>
  <si>
    <t>Type of Issue</t>
  </si>
  <si>
    <t>Example</t>
  </si>
  <si>
    <t>Why it’s a Problem</t>
  </si>
  <si>
    <t>Duplicate rows</t>
  </si>
  <si>
    <t>Anna Belle’s record appears twice</t>
  </si>
  <si>
    <t>Leads to double counting in totals</t>
  </si>
  <si>
    <t>Spelling errors</t>
  </si>
  <si>
    <t>“Excelent” instead of “Excellent”</t>
  </si>
  <si>
    <t>Affects grouping and summaries (Excel sees them as different values)</t>
  </si>
  <si>
    <t>Blank values</t>
  </si>
  <si>
    <r>
      <t xml:space="preserve">Missing </t>
    </r>
    <r>
      <rPr>
        <i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for Peter Parker, Bruce Banner, Phil Coulson</t>
    </r>
  </si>
  <si>
    <t>You can’t summarize by Region correctly</t>
  </si>
  <si>
    <t>Invalid values</t>
  </si>
  <si>
    <t>Region = “Asgard”, Rating = “Mischief”</t>
  </si>
  <si>
    <t>Doesn’t fit business logic (Asgard isn’t a valid region)</t>
  </si>
  <si>
    <t>Extra spaces</t>
  </si>
  <si>
    <t>“John Smith ”</t>
  </si>
  <si>
    <t>Causes mismatches during lookups or joins</t>
  </si>
  <si>
    <t>Invalid numbers</t>
  </si>
  <si>
    <t>Price = “inf”</t>
  </si>
  <si>
    <t>Breaks calculations (cannot multiply Quantity × inf)</t>
  </si>
  <si>
    <t>Zeros where not expected</t>
  </si>
  <si>
    <t>Quantity = 0</t>
  </si>
  <si>
    <t>Could be missing data or incorrect entry</t>
  </si>
  <si>
    <t>🧾 4️⃣ What happens if we don’t clean data?</t>
  </si>
  <si>
    <t>If you skip cleaning:</t>
  </si>
  <si>
    <r>
      <t xml:space="preserve">Your totals, averages, and trends will be </t>
    </r>
    <r>
      <rPr>
        <b/>
        <sz val="11"/>
        <color theme="1"/>
        <rFont val="Calibri"/>
        <family val="2"/>
        <scheme val="minor"/>
      </rPr>
      <t>wrong</t>
    </r>
    <r>
      <rPr>
        <sz val="11"/>
        <color theme="1"/>
        <rFont val="Calibri"/>
        <family val="2"/>
        <scheme val="minor"/>
      </rPr>
      <t>.</t>
    </r>
  </si>
  <si>
    <r>
      <t xml:space="preserve">Charts will look </t>
    </r>
    <r>
      <rPr>
        <b/>
        <sz val="11"/>
        <color theme="1"/>
        <rFont val="Calibri"/>
        <family val="2"/>
        <scheme val="minor"/>
      </rPr>
      <t>misleading</t>
    </r>
    <r>
      <rPr>
        <sz val="11"/>
        <color theme="1"/>
        <rFont val="Calibri"/>
        <family val="2"/>
        <scheme val="minor"/>
      </rPr>
      <t>.</t>
    </r>
  </si>
  <si>
    <r>
      <t xml:space="preserve">You’ll waste time troubleshooting errors like </t>
    </r>
    <r>
      <rPr>
        <sz val="10"/>
        <color theme="1"/>
        <rFont val="Arial Unicode MS"/>
        <family val="2"/>
      </rPr>
      <t>#VALUE!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#DIV/0!</t>
    </r>
    <r>
      <rPr>
        <sz val="11"/>
        <color theme="1"/>
        <rFont val="Calibri"/>
        <family val="2"/>
        <scheme val="minor"/>
      </rPr>
      <t>.</t>
    </r>
  </si>
  <si>
    <r>
      <t xml:space="preserve">Reports will lose </t>
    </r>
    <r>
      <rPr>
        <b/>
        <sz val="11"/>
        <color theme="1"/>
        <rFont val="Calibri"/>
        <family val="2"/>
        <scheme val="minor"/>
      </rPr>
      <t>credibility</t>
    </r>
    <r>
      <rPr>
        <sz val="11"/>
        <color theme="1"/>
        <rFont val="Calibri"/>
        <family val="2"/>
        <scheme val="minor"/>
      </rPr>
      <t>.</t>
    </r>
  </si>
  <si>
    <t>👉 Example:</t>
  </si>
  <si>
    <t>If “Excelent” and “Excellent” are both in the Rating column, your summary chart may show two categories — even though they mean the same thing.</t>
  </si>
  <si>
    <t>🧰 6️⃣ How Do We Clean Data? (Basic Techniques)</t>
  </si>
  <si>
    <t>Step</t>
  </si>
  <si>
    <t>Method</t>
  </si>
  <si>
    <t>Purpose</t>
  </si>
  <si>
    <t>1️⃣ Remove Duplicates</t>
  </si>
  <si>
    <t>Data → Remove Duplicates</t>
  </si>
  <si>
    <t>Avoid double-counting</t>
  </si>
  <si>
    <t>2️⃣ Trim Extra Spaces</t>
  </si>
  <si>
    <t>Clean names or text</t>
  </si>
  <si>
    <t>3️⃣ Fix Case</t>
  </si>
  <si>
    <t>Standardize names</t>
  </si>
  <si>
    <t>4️⃣ Correct Spelling</t>
  </si>
  <si>
    <t>Manual or Excel spell check</t>
  </si>
  <si>
    <t>Ensure consistent categories</t>
  </si>
  <si>
    <t>5️⃣ Handle Blanks</t>
  </si>
  <si>
    <t>Fill with “Unknown” or estimate</t>
  </si>
  <si>
    <t>Prevent broken summaries</t>
  </si>
  <si>
    <t>6️⃣ Fix Data Types</t>
  </si>
  <si>
    <t>Convert text to numbers/dates</t>
  </si>
  <si>
    <t>Allow formulas to work</t>
  </si>
  <si>
    <t>7️⃣ Validate Values</t>
  </si>
  <si>
    <t>Data → Data Validation</t>
  </si>
  <si>
    <t>Restrict entries (e.g. only North/South/East/West)</t>
  </si>
  <si>
    <t>8️⃣ Handle Errors</t>
  </si>
  <si>
    <t>Replace messy errors with blanks or labels</t>
  </si>
  <si>
    <t>CarType</t>
  </si>
  <si>
    <t>CustomerCity</t>
  </si>
  <si>
    <t>COGS</t>
  </si>
  <si>
    <t>Toyota</t>
  </si>
  <si>
    <t>City23</t>
  </si>
  <si>
    <t>GM</t>
  </si>
  <si>
    <t>City03</t>
  </si>
  <si>
    <t>City17</t>
  </si>
  <si>
    <t>Subaru</t>
  </si>
  <si>
    <t>City01</t>
  </si>
  <si>
    <t>Ford</t>
  </si>
  <si>
    <t>City12</t>
  </si>
  <si>
    <t>City07</t>
  </si>
  <si>
    <t>City19</t>
  </si>
  <si>
    <t>Honda</t>
  </si>
  <si>
    <t>City04</t>
  </si>
  <si>
    <t>City06</t>
  </si>
  <si>
    <t>City13</t>
  </si>
  <si>
    <t>City09</t>
  </si>
  <si>
    <t>City02</t>
  </si>
  <si>
    <t>City16</t>
  </si>
  <si>
    <t>Audi</t>
  </si>
  <si>
    <t>Order id</t>
  </si>
  <si>
    <t>Order Date</t>
  </si>
  <si>
    <t>Cust ID</t>
  </si>
  <si>
    <t>Address</t>
  </si>
  <si>
    <t>Cust Name</t>
  </si>
  <si>
    <t>Category</t>
  </si>
  <si>
    <t>Price</t>
  </si>
  <si>
    <t>Qty</t>
  </si>
  <si>
    <t>Amount</t>
  </si>
  <si>
    <t>APS20231</t>
  </si>
  <si>
    <t>Uttam Nagar - Delhi-110005</t>
  </si>
  <si>
    <t>Rakesh Maheta</t>
  </si>
  <si>
    <t>Computer</t>
  </si>
  <si>
    <t>Mouse</t>
  </si>
  <si>
    <t>APS20232</t>
  </si>
  <si>
    <t>Room No. 322, 
Seva Bhawan, 
Houz Khas-New Delhi-110016</t>
  </si>
  <si>
    <t>sonu sharma</t>
  </si>
  <si>
    <t>Electronics</t>
  </si>
  <si>
    <t xml:space="preserve">  Monitor</t>
  </si>
  <si>
    <t>APS20233</t>
  </si>
  <si>
    <t>Room No. 345,Shri Sakti Bhawan
-Delhi-110014</t>
  </si>
  <si>
    <t>ANIL KUMAR</t>
  </si>
  <si>
    <t>Art</t>
  </si>
  <si>
    <t>Printer</t>
  </si>
  <si>
    <t>APS20234</t>
  </si>
  <si>
    <t>Narnada Sadan, 
Sector B-Delhi-Indore-452010</t>
  </si>
  <si>
    <t>ROHIT</t>
  </si>
  <si>
    <t>Storage</t>
  </si>
  <si>
    <t>SSD     256 GB</t>
  </si>
  <si>
    <t>NA</t>
  </si>
  <si>
    <t>APS20235</t>
  </si>
  <si>
    <t>D Block, Flat 126,
AD Bridge-Bengaluru-560048</t>
  </si>
  <si>
    <t>Tinku Singh</t>
  </si>
  <si>
    <t>Mobiles</t>
  </si>
  <si>
    <t xml:space="preserve"> HDD 256 GB</t>
  </si>
  <si>
    <t>APS20238</t>
  </si>
  <si>
    <t>E/6F, Maruthi, Street No. 3-Hyderabad-500039</t>
  </si>
  <si>
    <t>raksingh</t>
  </si>
  <si>
    <t xml:space="preserve">   Monitor</t>
  </si>
  <si>
    <t>APS20239</t>
  </si>
  <si>
    <t>Mayor Road, 
KCM School-Chennai-600001</t>
  </si>
  <si>
    <t>suresh</t>
  </si>
  <si>
    <t>APS20240</t>
  </si>
  <si>
    <t>Uttam Nagar-Delhi-110005</t>
  </si>
  <si>
    <t>NEELAM</t>
  </si>
  <si>
    <t xml:space="preserve">            Scanner</t>
  </si>
  <si>
    <t>APS20242</t>
  </si>
  <si>
    <t>Room No. 3,Shri Sakti Bhawan
-Delhi-110014</t>
  </si>
  <si>
    <t>Sunita kumari</t>
  </si>
  <si>
    <t>Keyboard</t>
  </si>
  <si>
    <t>APS20243</t>
  </si>
  <si>
    <t>B Block, Flat 16,
AD Bridge-Bengaluru-560048</t>
  </si>
  <si>
    <t>vijay singh</t>
  </si>
  <si>
    <t>SSD 256   GB</t>
  </si>
  <si>
    <t>APS20244</t>
  </si>
  <si>
    <t>amandeep</t>
  </si>
  <si>
    <t>APS20245</t>
  </si>
  <si>
    <t>harvinder</t>
  </si>
  <si>
    <t>Room No. 3,Shri Sakti Bhawan
-Delhi-110015</t>
  </si>
  <si>
    <t>B Block, Flat 16,
AD Bridge-Bengaluru-560049</t>
  </si>
  <si>
    <t>Gender</t>
  </si>
  <si>
    <t>Age</t>
  </si>
  <si>
    <t>Class</t>
  </si>
  <si>
    <t>House</t>
  </si>
  <si>
    <t>Unit Test 1</t>
  </si>
  <si>
    <t>Unit Test 2</t>
  </si>
  <si>
    <t>Final Test</t>
  </si>
  <si>
    <t>Abhimanyu</t>
  </si>
  <si>
    <t>M</t>
  </si>
  <si>
    <t>Bhoomi</t>
  </si>
  <si>
    <t>Arjun</t>
  </si>
  <si>
    <t>Vayu</t>
  </si>
  <si>
    <t>Champa</t>
  </si>
  <si>
    <t>F</t>
  </si>
  <si>
    <t>Jal</t>
  </si>
  <si>
    <t>Gopal</t>
  </si>
  <si>
    <t>Gopi</t>
  </si>
  <si>
    <t>Agni</t>
  </si>
  <si>
    <t>Hari</t>
  </si>
  <si>
    <t>Indu</t>
  </si>
  <si>
    <t>Keshav</t>
  </si>
  <si>
    <t>Lalita</t>
  </si>
  <si>
    <t>Madhav</t>
  </si>
  <si>
    <t>Sam</t>
  </si>
  <si>
    <t>RNM</t>
  </si>
  <si>
    <t>Student1</t>
  </si>
  <si>
    <t>Student8</t>
  </si>
  <si>
    <t>Student2</t>
  </si>
  <si>
    <t>Student4</t>
  </si>
  <si>
    <t>Student5</t>
  </si>
  <si>
    <t>Sudevi</t>
  </si>
  <si>
    <t>Varun</t>
  </si>
  <si>
    <t>Vidya</t>
  </si>
  <si>
    <t>Visakha</t>
  </si>
  <si>
    <t>Vrinda</t>
  </si>
  <si>
    <t>📊 4. Pivot Table</t>
  </si>
  <si>
    <t>Definition:</t>
  </si>
  <si>
    <r>
      <t xml:space="preserve">A </t>
    </r>
    <r>
      <rPr>
        <b/>
        <sz val="11"/>
        <color theme="1"/>
        <rFont val="Calibri"/>
        <family val="2"/>
      </rPr>
      <t>Pivot Table</t>
    </r>
    <r>
      <rPr>
        <sz val="11"/>
        <color theme="1"/>
        <rFont val="Calibri"/>
        <family val="2"/>
        <scheme val="minor"/>
      </rPr>
      <t xml:space="preserve"> is a powerful Excel tool that helps </t>
    </r>
    <r>
      <rPr>
        <b/>
        <sz val="11"/>
        <color theme="1"/>
        <rFont val="Calibri"/>
        <family val="2"/>
      </rPr>
      <t>summarize, analyze, and visualize</t>
    </r>
    <r>
      <rPr>
        <sz val="11"/>
        <color theme="1"/>
        <rFont val="Calibri"/>
        <family val="2"/>
        <scheme val="minor"/>
      </rPr>
      <t xml:space="preserve"> large amounts of data easily. It lets you rearrange (or </t>
    </r>
    <r>
      <rPr>
        <i/>
        <sz val="11"/>
        <color theme="1"/>
        <rFont val="Calibri"/>
        <family val="2"/>
      </rPr>
      <t>pivot</t>
    </r>
    <r>
      <rPr>
        <sz val="11"/>
        <color theme="1"/>
        <rFont val="Calibri"/>
        <family val="2"/>
        <scheme val="minor"/>
      </rPr>
      <t>) your data to view it from different perspectives.</t>
    </r>
  </si>
  <si>
    <t>How it Works:</t>
  </si>
  <si>
    <t>You can drag and drop fields into:</t>
  </si>
  <si>
    <r>
      <t>Rows</t>
    </r>
    <r>
      <rPr>
        <sz val="11"/>
        <color theme="1"/>
        <rFont val="Calibri"/>
        <family val="2"/>
        <scheme val="minor"/>
      </rPr>
      <t xml:space="preserve"> → categories (e.g., Departments)</t>
    </r>
  </si>
  <si>
    <r>
      <t>Columns</t>
    </r>
    <r>
      <rPr>
        <sz val="11"/>
        <color theme="1"/>
        <rFont val="Calibri"/>
        <family val="2"/>
        <scheme val="minor"/>
      </rPr>
      <t xml:space="preserve"> → subcategories (e.g., Months)</t>
    </r>
  </si>
  <si>
    <r>
      <t>Values</t>
    </r>
    <r>
      <rPr>
        <sz val="11"/>
        <color theme="1"/>
        <rFont val="Calibri"/>
        <family val="2"/>
        <scheme val="minor"/>
      </rPr>
      <t xml:space="preserve"> → numbers (e.g., Sales, Marks)</t>
    </r>
  </si>
  <si>
    <r>
      <t>Filters</t>
    </r>
    <r>
      <rPr>
        <sz val="11"/>
        <color theme="1"/>
        <rFont val="Calibri"/>
        <family val="2"/>
        <scheme val="minor"/>
      </rPr>
      <t xml:space="preserve"> → criteria to refine data (e.g., Year)</t>
    </r>
  </si>
  <si>
    <t>Example:</t>
  </si>
  <si>
    <t>If you have sales data by product and region, a Pivot Table can instantly show:</t>
  </si>
  <si>
    <t>Total sales per product</t>
  </si>
  <si>
    <t>Sales comparison by region</t>
  </si>
  <si>
    <t>Monthly or yearly summaries</t>
  </si>
  <si>
    <t>Use Cases:</t>
  </si>
  <si>
    <t>To analyze sales, attendance, or performance</t>
  </si>
  <si>
    <t>To summarize marks by subject or department</t>
  </si>
  <si>
    <t>To create quick dashboards without formulas</t>
  </si>
  <si>
    <t xml:space="preserve">Pivot Table </t>
  </si>
  <si>
    <t>Question 1: Average Final Test marks by House</t>
  </si>
  <si>
    <t>Pivot Setup</t>
  </si>
  <si>
    <t>Rows → House</t>
  </si>
  <si>
    <t>Columns → None</t>
  </si>
  <si>
    <t>Values → Average of Final Test</t>
  </si>
  <si>
    <t>Filters → None</t>
  </si>
  <si>
    <t>Insight: This shows which House performs best overall in the Final Test.</t>
  </si>
  <si>
    <t>Question 2: Average Final Test marks by House and Gender</t>
  </si>
  <si>
    <t>Columns → Gender</t>
  </si>
  <si>
    <t>Insight: This helps compare how boys and girls perform within each House.</t>
  </si>
  <si>
    <t>Question 3: Average marks of Unit Test 1, Unit Test 2, and Final Test by House</t>
  </si>
  <si>
    <t>Columns → Unit Test 1, Unit Test 2, Final Test</t>
  </si>
  <si>
    <t>Values → Average of Marks</t>
  </si>
  <si>
    <t>Insight: This helps understand performance trends across tests and identify improvement or decline by House.</t>
  </si>
  <si>
    <t>Question 4: House and Gender performance filtered by Class</t>
  </si>
  <si>
    <t>Filters → Class</t>
  </si>
  <si>
    <t>Insight: This allows interactive analysis to see how different Classes perform across Houses and Genders.</t>
  </si>
  <si>
    <t>Automatically adjusts column width and row height</t>
  </si>
  <si>
    <t>Ensures all data is fully visible</t>
  </si>
  <si>
    <t>Prevents text from being cut off</t>
  </si>
  <si>
    <t>Keeps the table clean and readable</t>
  </si>
  <si>
    <t>Auto Fit</t>
  </si>
  <si>
    <t>1. Duplicate Record (Entire Row)</t>
  </si>
  <si>
    <t>What:</t>
  </si>
  <si>
    <r>
      <t xml:space="preserve">The </t>
    </r>
    <r>
      <rPr>
        <b/>
        <sz val="11"/>
        <color theme="1"/>
        <rFont val="Calibri"/>
        <family val="2"/>
        <scheme val="minor"/>
      </rPr>
      <t>same full row</t>
    </r>
    <r>
      <rPr>
        <sz val="11"/>
        <color theme="1"/>
        <rFont val="Calibri"/>
        <family val="2"/>
        <scheme val="minor"/>
      </rPr>
      <t xml:space="preserve"> appears more than once (all column values are identical).</t>
    </r>
  </si>
  <si>
    <t>When you need to check:</t>
  </si>
  <si>
    <t>While cleaning raw data</t>
  </si>
  <si>
    <t>Before analysis, reports, or Pivot Tables</t>
  </si>
  <si>
    <t>To avoid double counting</t>
  </si>
  <si>
    <t>Order ID</t>
  </si>
  <si>
    <t>Customer</t>
  </si>
  <si>
    <t>Ravi</t>
  </si>
  <si>
    <r>
      <t xml:space="preserve">➡️ Entire row is duplicated → </t>
    </r>
    <r>
      <rPr>
        <b/>
        <sz val="11"/>
        <color theme="1"/>
        <rFont val="Calibri"/>
        <family val="2"/>
        <scheme val="minor"/>
      </rPr>
      <t>Duplicate record</t>
    </r>
  </si>
  <si>
    <t>2. Duplicate in a Column</t>
  </si>
  <si>
    <r>
      <t xml:space="preserve">The </t>
    </r>
    <r>
      <rPr>
        <b/>
        <sz val="11"/>
        <color theme="1"/>
        <rFont val="Calibri"/>
        <family val="2"/>
        <scheme val="minor"/>
      </rPr>
      <t>same value repeats in a single column</t>
    </r>
    <r>
      <rPr>
        <sz val="11"/>
        <color theme="1"/>
        <rFont val="Calibri"/>
        <family val="2"/>
        <scheme val="minor"/>
      </rPr>
      <t>, but other column values may differ.</t>
    </r>
  </si>
  <si>
    <t>To find repeated IDs, emails, phone numbers, or roll numbers</t>
  </si>
  <si>
    <t>To validate uniqueness (like one ID per person)</t>
  </si>
  <si>
    <t>Student ID</t>
  </si>
  <si>
    <t>Marks</t>
  </si>
  <si>
    <t>S01</t>
  </si>
  <si>
    <t>Anil</t>
  </si>
  <si>
    <t>Sunil</t>
  </si>
  <si>
    <r>
      <t xml:space="preserve">➡️ </t>
    </r>
    <r>
      <rPr>
        <sz val="10"/>
        <color theme="1"/>
        <rFont val="Arial Unicode MS"/>
        <family val="2"/>
      </rPr>
      <t>Student ID</t>
    </r>
    <r>
      <rPr>
        <sz val="11"/>
        <color theme="1"/>
        <rFont val="Calibri"/>
        <family val="2"/>
        <scheme val="minor"/>
      </rPr>
      <t xml:space="preserve"> is repeated → </t>
    </r>
    <r>
      <rPr>
        <b/>
        <sz val="11"/>
        <color theme="1"/>
        <rFont val="Calibri"/>
        <family val="2"/>
        <scheme val="minor"/>
      </rPr>
      <t>Duplicate in a column</t>
    </r>
  </si>
  <si>
    <t>Simple Difference</t>
  </si>
  <si>
    <r>
      <t>Duplicate record</t>
    </r>
    <r>
      <rPr>
        <sz val="11"/>
        <color theme="1"/>
        <rFont val="Calibri"/>
        <family val="2"/>
        <scheme val="minor"/>
      </rPr>
      <t xml:space="preserve"> → whole row is same</t>
    </r>
  </si>
  <si>
    <r>
      <t>Duplicate in a column</t>
    </r>
    <r>
      <rPr>
        <sz val="11"/>
        <color theme="1"/>
        <rFont val="Calibri"/>
        <family val="2"/>
        <scheme val="minor"/>
      </rPr>
      <t xml:space="preserve"> → same value repeated in one column</t>
    </r>
  </si>
  <si>
    <t>Magiccc Wand</t>
  </si>
  <si>
    <t>Use of Data Validation (List) in Excel:</t>
  </si>
  <si>
    <r>
      <t xml:space="preserve">To </t>
    </r>
    <r>
      <rPr>
        <b/>
        <sz val="11"/>
        <color theme="1"/>
        <rFont val="Calibri"/>
        <family val="2"/>
        <scheme val="minor"/>
      </rPr>
      <t>restrict data entry</t>
    </r>
    <r>
      <rPr>
        <sz val="11"/>
        <color theme="1"/>
        <rFont val="Calibri"/>
        <family val="2"/>
        <scheme val="minor"/>
      </rPr>
      <t xml:space="preserve"> to predefined values</t>
    </r>
  </si>
  <si>
    <r>
      <t xml:space="preserve">To </t>
    </r>
    <r>
      <rPr>
        <b/>
        <sz val="11"/>
        <color theme="1"/>
        <rFont val="Calibri"/>
        <family val="2"/>
        <scheme val="minor"/>
      </rPr>
      <t>avoid spelling mistakes and invalid inputs</t>
    </r>
  </si>
  <si>
    <r>
      <t xml:space="preserve">To </t>
    </r>
    <r>
      <rPr>
        <b/>
        <sz val="11"/>
        <color theme="1"/>
        <rFont val="Calibri"/>
        <family val="2"/>
        <scheme val="minor"/>
      </rPr>
      <t>maintain consistency and accuracy</t>
    </r>
    <r>
      <rPr>
        <sz val="11"/>
        <color theme="1"/>
        <rFont val="Calibri"/>
        <family val="2"/>
        <scheme val="minor"/>
      </rPr>
      <t xml:space="preserve"> in the data</t>
    </r>
  </si>
  <si>
    <r>
      <t xml:space="preserve">To </t>
    </r>
    <r>
      <rPr>
        <b/>
        <sz val="11"/>
        <color theme="1"/>
        <rFont val="Calibri"/>
        <family val="2"/>
        <scheme val="minor"/>
      </rPr>
      <t>make data entry easier</t>
    </r>
    <r>
      <rPr>
        <sz val="11"/>
        <color theme="1"/>
        <rFont val="Calibri"/>
        <family val="2"/>
        <scheme val="minor"/>
      </rPr>
      <t xml:space="preserve"> using a dropdown list</t>
    </r>
  </si>
  <si>
    <t>Why we need to create a Pivot Table:</t>
  </si>
  <si>
    <r>
      <t xml:space="preserve">To </t>
    </r>
    <r>
      <rPr>
        <b/>
        <sz val="11"/>
        <color theme="1"/>
        <rFont val="Calibri"/>
        <family val="2"/>
        <scheme val="minor"/>
      </rPr>
      <t>quickly summarize large data</t>
    </r>
  </si>
  <si>
    <r>
      <t xml:space="preserve">To </t>
    </r>
    <r>
      <rPr>
        <b/>
        <sz val="11"/>
        <color theme="1"/>
        <rFont val="Calibri"/>
        <family val="2"/>
        <scheme val="minor"/>
      </rPr>
      <t>analyze data by rows and columns</t>
    </r>
  </si>
  <si>
    <r>
      <t xml:space="preserve">To </t>
    </r>
    <r>
      <rPr>
        <b/>
        <sz val="11"/>
        <color theme="1"/>
        <rFont val="Calibri"/>
        <family val="2"/>
        <scheme val="minor"/>
      </rPr>
      <t>easily change (drag &amp; drop) rows, columns, and values</t>
    </r>
  </si>
  <si>
    <r>
      <t xml:space="preserve">To </t>
    </r>
    <r>
      <rPr>
        <b/>
        <sz val="11"/>
        <color theme="1"/>
        <rFont val="Calibri"/>
        <family val="2"/>
        <scheme val="minor"/>
      </rPr>
      <t>update analysis instantly</t>
    </r>
    <r>
      <rPr>
        <sz val="11"/>
        <color theme="1"/>
        <rFont val="Calibri"/>
        <family val="2"/>
        <scheme val="minor"/>
      </rPr>
      <t xml:space="preserve"> when the layout changes</t>
    </r>
  </si>
  <si>
    <r>
      <t xml:space="preserve">To </t>
    </r>
    <r>
      <rPr>
        <b/>
        <sz val="11"/>
        <color theme="1"/>
        <rFont val="Calibri"/>
        <family val="2"/>
        <scheme val="minor"/>
      </rPr>
      <t>generate insights without changing the original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</si>
</sst>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3" formatCode="_(* #,##0.00_);_(* \(#,##0.00\);_(* &quot;-&quot;??_);_(@_)"/>
    <numFmt numFmtId="164" formatCode="_ * #,##0.00_ ;_ * \-#,##0.00_ ;_ * &quot;-&quot;??_ ;_ @_ 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28"/>
      <color theme="0"/>
      <name val="Segoe UI Light"/>
      <family val="2"/>
    </font>
    <font>
      <sz val="11"/>
      <color theme="1"/>
      <name val="Segoe UI"/>
      <family val="2"/>
    </font>
    <font>
      <sz val="11"/>
      <color rgb="FF000000"/>
      <name val="Calibri"/>
      <family val="2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3.5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5" fillId="0" borderId="0" xfId="0" applyFont="1" applyAlignment="1">
      <alignment horizontal="left" vertical="top"/>
    </xf>
    <xf numFmtId="22" fontId="6" fillId="0" borderId="0" xfId="0" applyNumberFormat="1" applyFont="1"/>
    <xf numFmtId="0" fontId="6" fillId="0" borderId="0" xfId="0" applyFont="1"/>
    <xf numFmtId="8" fontId="6" fillId="0" borderId="0" xfId="0" applyNumberFormat="1" applyFont="1"/>
    <xf numFmtId="0" fontId="7" fillId="2" borderId="0" xfId="0" applyFont="1" applyFill="1" applyAlignment="1">
      <alignment vertical="center"/>
    </xf>
    <xf numFmtId="0" fontId="5" fillId="0" borderId="0" xfId="0" applyFont="1"/>
    <xf numFmtId="14" fontId="6" fillId="0" borderId="0" xfId="0" applyNumberFormat="1" applyFont="1"/>
    <xf numFmtId="0" fontId="8" fillId="2" borderId="0" xfId="0" applyFont="1" applyFill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/>
    </xf>
    <xf numFmtId="22" fontId="6" fillId="0" borderId="0" xfId="0" applyNumberFormat="1" applyFont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8" fontId="6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8" fontId="9" fillId="0" borderId="0" xfId="0" applyNumberFormat="1" applyFont="1" applyAlignment="1">
      <alignment vertical="top"/>
    </xf>
    <xf numFmtId="14" fontId="7" fillId="2" borderId="0" xfId="0" applyNumberFormat="1" applyFont="1" applyFill="1" applyAlignment="1">
      <alignment horizontal="left" vertical="center"/>
    </xf>
    <xf numFmtId="4" fontId="7" fillId="2" borderId="0" xfId="0" applyNumberFormat="1" applyFont="1" applyFill="1" applyAlignment="1">
      <alignment vertical="center"/>
    </xf>
    <xf numFmtId="14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horizontal="left" vertical="top"/>
    </xf>
    <xf numFmtId="14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4" fontId="6" fillId="0" borderId="0" xfId="0" applyNumberFormat="1" applyFont="1" applyAlignment="1">
      <alignment horizontal="left" vertical="top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1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4" fillId="3" borderId="1" xfId="0" applyFont="1" applyFill="1" applyBorder="1"/>
    <xf numFmtId="14" fontId="0" fillId="0" borderId="1" xfId="0" applyNumberFormat="1" applyBorder="1"/>
    <xf numFmtId="0" fontId="0" fillId="0" borderId="1" xfId="0" applyBorder="1"/>
    <xf numFmtId="164" fontId="1" fillId="0" borderId="1" xfId="1" applyFont="1" applyBorder="1"/>
    <xf numFmtId="0" fontId="4" fillId="4" borderId="0" xfId="0" applyFont="1" applyFill="1"/>
    <xf numFmtId="0" fontId="0" fillId="0" borderId="0" xfId="0" applyAlignment="1">
      <alignment horizontal="left"/>
    </xf>
    <xf numFmtId="14" fontId="0" fillId="0" borderId="0" xfId="0" applyNumberFormat="1"/>
    <xf numFmtId="43" fontId="4" fillId="4" borderId="0" xfId="0" applyNumberFormat="1" applyFont="1" applyFill="1"/>
    <xf numFmtId="0" fontId="3" fillId="5" borderId="1" xfId="0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left"/>
    </xf>
    <xf numFmtId="165" fontId="3" fillId="5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22" fontId="6" fillId="5" borderId="0" xfId="0" applyNumberFormat="1" applyFont="1" applyFill="1"/>
    <xf numFmtId="0" fontId="6" fillId="5" borderId="0" xfId="0" applyFont="1" applyFill="1"/>
    <xf numFmtId="8" fontId="6" fillId="5" borderId="0" xfId="0" applyNumberFormat="1" applyFont="1" applyFill="1"/>
    <xf numFmtId="0" fontId="0" fillId="5" borderId="0" xfId="0" applyFill="1"/>
    <xf numFmtId="0" fontId="0" fillId="5" borderId="0" xfId="0" applyFill="1" applyAlignment="1">
      <alignment horizontal="left" vertical="center" indent="1"/>
    </xf>
  </cellXfs>
  <cellStyles count="2">
    <cellStyle name="Comma" xfId="1" builtinId="3"/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188595</xdr:colOff>
      <xdr:row>3</xdr:row>
      <xdr:rowOff>133350</xdr:rowOff>
    </xdr:from>
    <xdr:to>
      <xdr:col>12</xdr:col>
      <xdr:colOff>9532</xdr:colOff>
      <xdr:row>23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FC914F7D-52C6-4B54-914A-066011A27611}"/>
            </a:ext>
          </a:extLst>
        </xdr:cNvPr>
        <xdr:cNvSpPr/>
      </xdr:nvSpPr>
      <xdr:spPr>
        <a:xfrm>
          <a:off x="4059555" y="681990"/>
          <a:ext cx="4248157" cy="35718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Before you use Excel’s Data Analysis Tools: the data must be in proper Excel “List” or “Table” or “Database” Format.</a:t>
          </a: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endParaRPr lang="en-US" sz="1100">
            <a:solidFill>
              <a:sysClr val="windowText" lastClr="000000"/>
            </a:solidFill>
            <a:latin typeface="+mn-lt"/>
            <a:ea typeface="SimSun"/>
            <a:cs typeface="Mangal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Really, this “Format” is “How the data is setup in your worksheet”.</a:t>
          </a: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endParaRPr lang="en-US" sz="1100">
            <a:solidFill>
              <a:sysClr val="windowText" lastClr="000000"/>
            </a:solidFill>
            <a:latin typeface="+mn-lt"/>
            <a:ea typeface="SimSun"/>
            <a:cs typeface="Mangal"/>
          </a:endParaRP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The Rules for this “Format’ or “Setup” are:</a:t>
          </a:r>
        </a:p>
        <a:p>
          <a:pPr marL="0" marR="0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endParaRPr lang="en-US" sz="1100">
            <a:solidFill>
              <a:sysClr val="windowText" lastClr="000000"/>
            </a:solidFill>
            <a:latin typeface="+mn-lt"/>
            <a:ea typeface="SimSun"/>
            <a:cs typeface="Mangal"/>
          </a:endParaRPr>
        </a:p>
        <a:p>
          <a:pPr marL="342900" marR="0" lvl="0" indent="-342900">
            <a:lnSpc>
              <a:spcPct val="115000"/>
            </a:lnSpc>
            <a:spcBef>
              <a:spcPts val="0"/>
            </a:spcBef>
            <a:spcAft>
              <a:spcPts val="0"/>
            </a:spcAft>
            <a:buFont typeface="+mj-lt"/>
            <a:buAutoNum type="arabicPeriod"/>
          </a:pPr>
          <a:r>
            <a:rPr lang="en-US" sz="1100" b="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First row has field names with formatting that is different from the rest of the data</a:t>
          </a:r>
        </a:p>
        <a:p>
          <a:pPr marL="342900" marR="0" lvl="0" indent="-342900">
            <a:lnSpc>
              <a:spcPct val="115000"/>
            </a:lnSpc>
            <a:spcBef>
              <a:spcPts val="0"/>
            </a:spcBef>
            <a:spcAft>
              <a:spcPts val="0"/>
            </a:spcAft>
            <a:buFont typeface="+mj-lt"/>
            <a:buAutoNum type="arabicPeriod"/>
          </a:pPr>
          <a:r>
            <a:rPr lang="en-US" sz="1100" b="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No blank field names</a:t>
          </a:r>
        </a:p>
        <a:p>
          <a:pPr marL="342900" marR="0" lvl="0" indent="-342900">
            <a:lnSpc>
              <a:spcPct val="115000"/>
            </a:lnSpc>
            <a:spcBef>
              <a:spcPts val="0"/>
            </a:spcBef>
            <a:spcAft>
              <a:spcPts val="0"/>
            </a:spcAft>
            <a:buFont typeface="+mj-lt"/>
            <a:buAutoNum type="arabicPeriod"/>
          </a:pPr>
          <a:r>
            <a:rPr lang="en-US" sz="110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Columns are called Fields</a:t>
          </a:r>
        </a:p>
        <a:p>
          <a:pPr marL="342900" marR="0" lvl="0" indent="-342900">
            <a:lnSpc>
              <a:spcPct val="115000"/>
            </a:lnSpc>
            <a:spcBef>
              <a:spcPts val="0"/>
            </a:spcBef>
            <a:spcAft>
              <a:spcPts val="0"/>
            </a:spcAft>
            <a:buFont typeface="+mj-lt"/>
            <a:buAutoNum type="arabicPeriod"/>
          </a:pPr>
          <a:r>
            <a:rPr lang="en-US" sz="110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Rows are called records</a:t>
          </a:r>
        </a:p>
        <a:p>
          <a:pPr marL="342900" marR="0" lvl="0" indent="-342900">
            <a:lnSpc>
              <a:spcPct val="115000"/>
            </a:lnSpc>
            <a:spcBef>
              <a:spcPts val="0"/>
            </a:spcBef>
            <a:spcAft>
              <a:spcPts val="0"/>
            </a:spcAft>
            <a:buFont typeface="+mj-lt"/>
            <a:buAutoNum type="arabicPeriod"/>
          </a:pPr>
          <a:r>
            <a:rPr lang="en-US" sz="1100" b="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No blank columns (fields)</a:t>
          </a:r>
        </a:p>
        <a:p>
          <a:pPr marL="342900" marR="0" lvl="0" indent="-342900">
            <a:lnSpc>
              <a:spcPts val="1400"/>
            </a:lnSpc>
            <a:spcBef>
              <a:spcPts val="0"/>
            </a:spcBef>
            <a:spcAft>
              <a:spcPts val="0"/>
            </a:spcAft>
            <a:buFont typeface="+mj-lt"/>
            <a:buAutoNum type="arabicPeriod"/>
          </a:pPr>
          <a:r>
            <a:rPr lang="en-US" sz="1100" b="0">
              <a:solidFill>
                <a:sysClr val="windowText" lastClr="000000"/>
              </a:solidFill>
              <a:latin typeface="+mn-lt"/>
              <a:ea typeface="SimSun"/>
              <a:cs typeface="Mangal"/>
            </a:rPr>
            <a:t>No blank rows (records)</a:t>
          </a:r>
        </a:p>
        <a:p>
          <a:pPr marL="342900" marR="0" lvl="0" indent="-342900">
            <a:lnSpc>
              <a:spcPts val="1400"/>
            </a:lnSpc>
            <a:spcBef>
              <a:spcPts val="0"/>
            </a:spcBef>
            <a:spcAft>
              <a:spcPts val="0"/>
            </a:spcAft>
            <a:buFont typeface="+mj-lt"/>
            <a:buAutoNum type="arabicPeriod"/>
          </a:pPr>
          <a:r>
            <a:rPr lang="en-US" sz="1100" b="1">
              <a:solidFill>
                <a:srgbClr val="FF0000"/>
              </a:solidFill>
              <a:latin typeface="+mn-lt"/>
              <a:ea typeface="SimSun"/>
              <a:cs typeface="Mangal"/>
            </a:rPr>
            <a:t>Blank rows and columns and/or Excel’s column headers (A, B…) and/or row headers (1; 2…) must separate the Excel List from other data</a:t>
          </a:r>
        </a:p>
        <a:p>
          <a:pPr algn="ctr">
            <a:lnSpc>
              <a:spcPts val="1400"/>
            </a:lnSpc>
          </a:pP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2:H31" totalsRowCount="1" headerRowDxfId="80" dataDxfId="79">
  <autoFilter ref="A2:H30"/>
  <tableColumns count="8">
    <tableColumn id="1" name="Date" totalsRowLabel="Total" dataDxfId="78" totalsRowDxfId="77"/>
    <tableColumn id="2" name="ID" dataDxfId="76" totalsRowDxfId="75"/>
    <tableColumn id="3" name="Name" dataDxfId="74" totalsRowDxfId="73"/>
    <tableColumn id="4" name="Region" dataDxfId="72" totalsRowDxfId="71"/>
    <tableColumn id="5" name="Rating" dataDxfId="70" totalsRowDxfId="69"/>
    <tableColumn id="6" name="Product" dataDxfId="68" totalsRowDxfId="67"/>
    <tableColumn id="7" name="Quantity" dataDxfId="66" totalsRowDxfId="65"/>
    <tableColumn id="8" name="Price Per Unit" totalsRowFunction="max" dataDxfId="64" totalsRow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4" displayName="Table134" ref="A2:I31" totalsRowCount="1" headerRowDxfId="61" dataDxfId="60">
  <autoFilter ref="A2:I30"/>
  <tableColumns count="9">
    <tableColumn id="1" name="Date" totalsRowLabel="Total" dataDxfId="59" totalsRowDxfId="58"/>
    <tableColumn id="2" name="ID" dataDxfId="57" totalsRowDxfId="56"/>
    <tableColumn id="3" name="Name" dataDxfId="55" totalsRowDxfId="54"/>
    <tableColumn id="4" name="Region" dataDxfId="53" totalsRowDxfId="52"/>
    <tableColumn id="5" name="Rating" dataDxfId="51" totalsRowDxfId="50"/>
    <tableColumn id="6" name="Product" dataDxfId="49" totalsRowDxfId="48"/>
    <tableColumn id="7" name="Quantity" dataDxfId="47" totalsRowDxfId="46"/>
    <tableColumn id="8" name="Price Per Unit" totalsRowFunction="max" dataDxfId="45" totalsRowDxfId="44"/>
    <tableColumn id="9" name="Sales" totalsRowFunction="sum" dataDxfId="43" totalsRowDxfId="42">
      <calculatedColumnFormula>IFERROR( Table134[[#This Row],[Quantity]]*Table134[[#This Row],[Price Per Unit]],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345" displayName="Table1345" ref="A2:I31" totalsRowCount="1" headerRowDxfId="40" dataDxfId="39">
  <autoFilter ref="A2:I30"/>
  <tableColumns count="9">
    <tableColumn id="1" name="Date" totalsRowLabel="Total" dataDxfId="38" totalsRowDxfId="37"/>
    <tableColumn id="2" name="ID" dataDxfId="36" totalsRowDxfId="35"/>
    <tableColumn id="3" name="Name" dataDxfId="34" totalsRowDxfId="33"/>
    <tableColumn id="4" name="Region" dataDxfId="32" totalsRowDxfId="31"/>
    <tableColumn id="5" name="Rating" dataDxfId="30" totalsRowDxfId="29"/>
    <tableColumn id="6" name="Product" dataDxfId="28" totalsRowDxfId="27"/>
    <tableColumn id="7" name="Quantity" dataDxfId="26" totalsRowDxfId="25"/>
    <tableColumn id="8" name="Price Per Unit" totalsRowFunction="max" dataDxfId="24" totalsRowDxfId="23"/>
    <tableColumn id="9" name="Sales" totalsRowFunction="sum" dataDxfId="22" totalsRowDxfId="21">
      <calculatedColumnFormula>IFERROR( Table1345[[#This Row],[Quantity]]*Table1345[[#This Row],[Price Per Unit]], 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3456" displayName="Table13456" ref="A2:I31" totalsRowCount="1" headerRowDxfId="19" dataDxfId="18">
  <autoFilter ref="A2:I30"/>
  <tableColumns count="9">
    <tableColumn id="1" name="Date" totalsRowLabel="Total" dataDxfId="17" totalsRowDxfId="16"/>
    <tableColumn id="2" name="ID" dataDxfId="15" totalsRowDxfId="14"/>
    <tableColumn id="3" name="Name" dataDxfId="13" totalsRowDxfId="12"/>
    <tableColumn id="4" name="Region" dataDxfId="11" totalsRowDxfId="10"/>
    <tableColumn id="5" name="Rating" dataDxfId="9" totalsRowDxfId="8"/>
    <tableColumn id="6" name="Product" dataDxfId="7" totalsRowDxfId="6"/>
    <tableColumn id="7" name="Quantity" dataDxfId="5" totalsRowDxfId="4"/>
    <tableColumn id="8" name="Price Per Unit" totalsRowFunction="max" dataDxfId="3" totalsRowDxfId="2"/>
    <tableColumn id="9" name="Sales" totalsRowFunction="sum" dataDxfId="1" totalsRowDxfId="0">
      <calculatedColumnFormula>IFERROR( Table13456[[#This Row],[Quantity]]*Table13456[[#This Row],[Price Per Unit]], 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6" displayName="Table16" ref="A3:H25" totalsRowShown="0">
  <autoFilter ref="A3:H25"/>
  <tableColumns count="8">
    <tableColumn id="1" name="Name"/>
    <tableColumn id="2" name="Gender"/>
    <tableColumn id="3" name="Age"/>
    <tableColumn id="4" name="Class"/>
    <tableColumn id="5" name="House"/>
    <tableColumn id="6" name="Unit Test 1"/>
    <tableColumn id="7" name="Unit Test 2"/>
    <tableColumn id="8" name="Final 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workbookViewId="0">
      <selection activeCell="G25" sqref="G25"/>
    </sheetView>
  </sheetViews>
  <sheetFormatPr defaultRowHeight="14.4" x14ac:dyDescent="0.3"/>
  <cols>
    <col min="11" max="11" width="27.6640625" customWidth="1"/>
    <col min="12" max="12" width="33" customWidth="1"/>
    <col min="13" max="13" width="53.77734375" customWidth="1"/>
  </cols>
  <sheetData>
    <row r="1" spans="1:11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34" t="s">
        <v>127</v>
      </c>
    </row>
    <row r="2" spans="1:11" x14ac:dyDescent="0.3">
      <c r="A2" s="2">
        <v>44227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10</v>
      </c>
      <c r="H2" s="4">
        <v>20</v>
      </c>
    </row>
    <row r="3" spans="1:11" x14ac:dyDescent="0.3">
      <c r="A3" s="2">
        <v>44255</v>
      </c>
      <c r="B3" s="3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15</v>
      </c>
      <c r="H3" s="4">
        <v>10</v>
      </c>
      <c r="K3" s="33" t="s">
        <v>128</v>
      </c>
    </row>
    <row r="4" spans="1:11" x14ac:dyDescent="0.3">
      <c r="A4" s="2">
        <v>44286</v>
      </c>
      <c r="B4" s="3">
        <v>3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0</v>
      </c>
      <c r="H4" s="3" t="s">
        <v>20</v>
      </c>
      <c r="K4" t="s">
        <v>129</v>
      </c>
    </row>
    <row r="5" spans="1:11" x14ac:dyDescent="0.3">
      <c r="A5" s="2">
        <v>44316</v>
      </c>
      <c r="B5" s="3">
        <v>4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25</v>
      </c>
      <c r="H5" s="4">
        <v>10</v>
      </c>
      <c r="K5" s="32"/>
    </row>
    <row r="6" spans="1:11" x14ac:dyDescent="0.3">
      <c r="A6" s="2">
        <v>44347</v>
      </c>
      <c r="B6" s="3">
        <v>5</v>
      </c>
      <c r="C6" s="3" t="s">
        <v>25</v>
      </c>
      <c r="D6" s="3" t="s">
        <v>13</v>
      </c>
      <c r="E6" s="3" t="s">
        <v>10</v>
      </c>
      <c r="F6" s="3" t="s">
        <v>26</v>
      </c>
      <c r="G6" s="3">
        <v>30</v>
      </c>
      <c r="H6" s="4">
        <v>16.670000000000002</v>
      </c>
      <c r="K6" s="32" t="s">
        <v>130</v>
      </c>
    </row>
    <row r="7" spans="1:11" x14ac:dyDescent="0.3">
      <c r="A7" s="2">
        <v>44377</v>
      </c>
      <c r="B7" s="3">
        <v>6</v>
      </c>
      <c r="C7" s="3" t="s">
        <v>27</v>
      </c>
      <c r="D7" s="3"/>
      <c r="E7" s="3" t="s">
        <v>14</v>
      </c>
      <c r="F7" s="3" t="s">
        <v>28</v>
      </c>
      <c r="G7" s="3">
        <v>0</v>
      </c>
      <c r="H7" s="3" t="s">
        <v>20</v>
      </c>
      <c r="K7" s="32"/>
    </row>
    <row r="8" spans="1:11" x14ac:dyDescent="0.3">
      <c r="A8" s="2">
        <v>44408</v>
      </c>
      <c r="B8" s="3">
        <v>7</v>
      </c>
      <c r="C8" s="3" t="s">
        <v>29</v>
      </c>
      <c r="D8" s="3" t="s">
        <v>17</v>
      </c>
      <c r="E8" s="3" t="s">
        <v>18</v>
      </c>
      <c r="F8" s="3" t="s">
        <v>30</v>
      </c>
      <c r="G8" s="3">
        <v>35</v>
      </c>
      <c r="H8" s="4">
        <v>10</v>
      </c>
      <c r="K8" s="32" t="s">
        <v>131</v>
      </c>
    </row>
    <row r="9" spans="1:11" x14ac:dyDescent="0.3">
      <c r="A9" s="2">
        <v>44439</v>
      </c>
      <c r="B9" s="3">
        <v>8</v>
      </c>
      <c r="C9" s="3" t="s">
        <v>31</v>
      </c>
      <c r="D9" s="3" t="s">
        <v>22</v>
      </c>
      <c r="E9" s="3" t="s">
        <v>23</v>
      </c>
      <c r="F9" s="3" t="s">
        <v>32</v>
      </c>
      <c r="G9" s="3">
        <v>40</v>
      </c>
      <c r="H9" s="4">
        <v>15</v>
      </c>
      <c r="K9" s="32"/>
    </row>
    <row r="10" spans="1:11" x14ac:dyDescent="0.3">
      <c r="A10" s="2">
        <v>44469</v>
      </c>
      <c r="B10" s="3">
        <v>9</v>
      </c>
      <c r="C10" s="3" t="s">
        <v>33</v>
      </c>
      <c r="D10" s="3" t="s">
        <v>13</v>
      </c>
      <c r="E10" s="3" t="s">
        <v>10</v>
      </c>
      <c r="F10" s="3" t="s">
        <v>34</v>
      </c>
      <c r="G10" s="3">
        <v>45</v>
      </c>
      <c r="H10" s="4">
        <v>12.22</v>
      </c>
      <c r="K10" s="32" t="s">
        <v>132</v>
      </c>
    </row>
    <row r="11" spans="1:11" x14ac:dyDescent="0.3">
      <c r="A11" s="2">
        <v>44500</v>
      </c>
      <c r="B11" s="3">
        <v>10</v>
      </c>
      <c r="C11" s="3" t="s">
        <v>35</v>
      </c>
      <c r="D11" s="3" t="s">
        <v>9</v>
      </c>
      <c r="E11" s="3" t="s">
        <v>14</v>
      </c>
      <c r="F11" s="3" t="s">
        <v>36</v>
      </c>
      <c r="G11" s="3">
        <v>50</v>
      </c>
      <c r="H11" s="4">
        <v>14</v>
      </c>
      <c r="K11" s="32"/>
    </row>
    <row r="12" spans="1:11" x14ac:dyDescent="0.3">
      <c r="A12" s="2">
        <v>44530</v>
      </c>
      <c r="B12" s="3">
        <v>11</v>
      </c>
      <c r="C12" s="3" t="s">
        <v>37</v>
      </c>
      <c r="D12" s="3" t="s">
        <v>17</v>
      </c>
      <c r="E12" s="3" t="s">
        <v>18</v>
      </c>
      <c r="F12" s="3" t="s">
        <v>38</v>
      </c>
      <c r="G12" s="3">
        <v>5</v>
      </c>
      <c r="H12" s="4">
        <v>160</v>
      </c>
      <c r="K12" s="32" t="s">
        <v>133</v>
      </c>
    </row>
    <row r="13" spans="1:11" x14ac:dyDescent="0.3">
      <c r="A13" s="2">
        <v>44561</v>
      </c>
      <c r="B13" s="3">
        <v>12</v>
      </c>
      <c r="C13" s="3" t="s">
        <v>39</v>
      </c>
      <c r="D13" s="3" t="s">
        <v>22</v>
      </c>
      <c r="E13" s="3" t="s">
        <v>23</v>
      </c>
      <c r="F13" s="3" t="s">
        <v>40</v>
      </c>
      <c r="G13" s="3">
        <v>20</v>
      </c>
      <c r="H13" s="4">
        <v>45</v>
      </c>
    </row>
    <row r="14" spans="1:11" x14ac:dyDescent="0.3">
      <c r="A14" s="2">
        <v>44592</v>
      </c>
      <c r="B14" s="3">
        <v>13</v>
      </c>
      <c r="C14" s="3" t="s">
        <v>41</v>
      </c>
      <c r="D14" s="3" t="s">
        <v>13</v>
      </c>
      <c r="E14" s="3" t="s">
        <v>10</v>
      </c>
      <c r="F14" s="3" t="s">
        <v>42</v>
      </c>
      <c r="G14" s="3">
        <v>0</v>
      </c>
      <c r="H14" s="3" t="s">
        <v>20</v>
      </c>
      <c r="K14" t="s">
        <v>134</v>
      </c>
    </row>
    <row r="15" spans="1:11" x14ac:dyDescent="0.3">
      <c r="A15" s="2">
        <v>44620</v>
      </c>
      <c r="B15" s="3">
        <v>14</v>
      </c>
      <c r="C15" s="3" t="s">
        <v>43</v>
      </c>
      <c r="D15" s="3"/>
      <c r="E15" s="3" t="s">
        <v>14</v>
      </c>
      <c r="F15" s="3" t="s">
        <v>44</v>
      </c>
      <c r="G15" s="3">
        <v>30</v>
      </c>
      <c r="H15" s="4">
        <v>36.67</v>
      </c>
      <c r="K15" s="30"/>
    </row>
    <row r="16" spans="1:11" ht="15" x14ac:dyDescent="0.3">
      <c r="A16" s="2">
        <v>44316</v>
      </c>
      <c r="B16" s="3">
        <v>4</v>
      </c>
      <c r="C16" s="3" t="s">
        <v>21</v>
      </c>
      <c r="D16" s="3" t="s">
        <v>22</v>
      </c>
      <c r="E16" s="3" t="s">
        <v>23</v>
      </c>
      <c r="F16" s="3" t="s">
        <v>24</v>
      </c>
      <c r="G16" s="3">
        <v>25</v>
      </c>
      <c r="H16" s="4">
        <v>10</v>
      </c>
      <c r="K16" s="37" t="s">
        <v>135</v>
      </c>
    </row>
    <row r="17" spans="1:11" x14ac:dyDescent="0.3">
      <c r="A17" s="2">
        <v>44347</v>
      </c>
      <c r="B17" s="3">
        <v>5</v>
      </c>
      <c r="C17" s="3" t="s">
        <v>25</v>
      </c>
      <c r="D17" s="3" t="s">
        <v>13</v>
      </c>
      <c r="E17" s="3" t="s">
        <v>10</v>
      </c>
      <c r="F17" s="3" t="s">
        <v>26</v>
      </c>
      <c r="G17" s="3">
        <v>30</v>
      </c>
      <c r="H17" s="4">
        <v>16.670000000000002</v>
      </c>
    </row>
    <row r="18" spans="1:11" x14ac:dyDescent="0.3">
      <c r="A18" s="2">
        <v>44377</v>
      </c>
      <c r="B18" s="3">
        <v>6</v>
      </c>
      <c r="C18" s="3" t="s">
        <v>27</v>
      </c>
      <c r="D18" s="3"/>
      <c r="E18" s="3" t="s">
        <v>14</v>
      </c>
      <c r="F18" s="3" t="s">
        <v>28</v>
      </c>
      <c r="G18" s="3">
        <v>0</v>
      </c>
      <c r="H18" s="3" t="s">
        <v>20</v>
      </c>
      <c r="K18" t="s">
        <v>136</v>
      </c>
    </row>
    <row r="19" spans="1:11" x14ac:dyDescent="0.3">
      <c r="A19" s="2">
        <v>44651</v>
      </c>
      <c r="B19" s="3">
        <v>15</v>
      </c>
      <c r="C19" s="3" t="s">
        <v>45</v>
      </c>
      <c r="D19" s="3" t="s">
        <v>17</v>
      </c>
      <c r="E19" s="3" t="s">
        <v>18</v>
      </c>
      <c r="F19" s="3" t="s">
        <v>46</v>
      </c>
      <c r="G19" s="3">
        <v>35</v>
      </c>
      <c r="H19" s="4">
        <v>34.29</v>
      </c>
    </row>
    <row r="20" spans="1:11" x14ac:dyDescent="0.3">
      <c r="A20" s="2">
        <v>44681</v>
      </c>
      <c r="B20" s="3">
        <v>16</v>
      </c>
      <c r="C20" s="3" t="s">
        <v>47</v>
      </c>
      <c r="D20" s="3"/>
      <c r="E20" s="3" t="s">
        <v>23</v>
      </c>
      <c r="F20" s="3" t="s">
        <v>48</v>
      </c>
      <c r="G20" s="3">
        <v>0</v>
      </c>
      <c r="H20" s="3" t="s">
        <v>20</v>
      </c>
    </row>
    <row r="21" spans="1:11" x14ac:dyDescent="0.3">
      <c r="A21" s="2">
        <v>44712</v>
      </c>
      <c r="B21" s="3">
        <v>17</v>
      </c>
      <c r="C21" s="3" t="s">
        <v>49</v>
      </c>
      <c r="D21" s="3" t="s">
        <v>13</v>
      </c>
      <c r="E21" s="3" t="s">
        <v>10</v>
      </c>
      <c r="F21" s="3" t="s">
        <v>50</v>
      </c>
      <c r="G21" s="3">
        <v>40</v>
      </c>
      <c r="H21" s="4">
        <v>35</v>
      </c>
    </row>
    <row r="22" spans="1:11" ht="23.4" x14ac:dyDescent="0.3">
      <c r="A22" s="2">
        <v>44742</v>
      </c>
      <c r="B22" s="3">
        <v>18</v>
      </c>
      <c r="C22" s="3" t="s">
        <v>51</v>
      </c>
      <c r="D22" s="3" t="s">
        <v>9</v>
      </c>
      <c r="E22" s="3" t="s">
        <v>14</v>
      </c>
      <c r="F22" s="3" t="s">
        <v>52</v>
      </c>
      <c r="G22" s="3">
        <v>45</v>
      </c>
      <c r="H22" s="4">
        <v>33.33</v>
      </c>
      <c r="K22" s="34" t="s">
        <v>137</v>
      </c>
    </row>
    <row r="23" spans="1:11" x14ac:dyDescent="0.3">
      <c r="A23" s="2">
        <v>44773</v>
      </c>
      <c r="B23" s="3">
        <v>19</v>
      </c>
      <c r="C23" s="3" t="s">
        <v>53</v>
      </c>
      <c r="D23" s="3" t="s">
        <v>17</v>
      </c>
      <c r="E23" s="3" t="s">
        <v>18</v>
      </c>
      <c r="F23" s="3" t="s">
        <v>54</v>
      </c>
      <c r="G23" s="3">
        <v>50</v>
      </c>
      <c r="H23" s="4">
        <v>32</v>
      </c>
    </row>
    <row r="24" spans="1:11" x14ac:dyDescent="0.3">
      <c r="A24" s="2">
        <v>44804</v>
      </c>
      <c r="B24" s="3">
        <v>20</v>
      </c>
      <c r="C24" s="3" t="s">
        <v>55</v>
      </c>
      <c r="D24" s="3" t="s">
        <v>22</v>
      </c>
      <c r="E24" s="3" t="s">
        <v>23</v>
      </c>
      <c r="F24" s="3" t="s">
        <v>56</v>
      </c>
      <c r="G24" s="3">
        <v>55</v>
      </c>
      <c r="H24" s="4">
        <v>30.91</v>
      </c>
      <c r="K24" t="s">
        <v>138</v>
      </c>
    </row>
    <row r="25" spans="1:11" x14ac:dyDescent="0.3">
      <c r="A25" s="2">
        <v>44834</v>
      </c>
      <c r="B25" s="3">
        <v>21</v>
      </c>
      <c r="C25" s="3" t="s">
        <v>57</v>
      </c>
      <c r="D25" s="3" t="s">
        <v>13</v>
      </c>
      <c r="E25" s="3" t="s">
        <v>10</v>
      </c>
      <c r="F25" s="3" t="s">
        <v>58</v>
      </c>
      <c r="G25" s="3">
        <v>60</v>
      </c>
      <c r="H25" s="4">
        <v>30</v>
      </c>
    </row>
    <row r="26" spans="1:11" ht="18" x14ac:dyDescent="0.3">
      <c r="A26" s="2">
        <v>44865</v>
      </c>
      <c r="B26" s="3">
        <v>22</v>
      </c>
      <c r="C26" s="3" t="s">
        <v>59</v>
      </c>
      <c r="D26" s="3" t="s">
        <v>9</v>
      </c>
      <c r="E26" s="3" t="s">
        <v>14</v>
      </c>
      <c r="F26" s="3" t="s">
        <v>60</v>
      </c>
      <c r="G26" s="3">
        <v>0</v>
      </c>
      <c r="H26" s="3" t="s">
        <v>20</v>
      </c>
      <c r="K26" s="31" t="s">
        <v>139</v>
      </c>
    </row>
    <row r="27" spans="1:11" x14ac:dyDescent="0.3">
      <c r="A27" s="2">
        <v>44895</v>
      </c>
      <c r="B27" s="3">
        <v>23</v>
      </c>
      <c r="C27" s="3" t="s">
        <v>61</v>
      </c>
      <c r="D27" s="3" t="s">
        <v>17</v>
      </c>
      <c r="E27" s="3" t="s">
        <v>18</v>
      </c>
      <c r="F27" s="3" t="s">
        <v>62</v>
      </c>
      <c r="G27" s="3">
        <v>65</v>
      </c>
      <c r="H27" s="4">
        <v>30.77</v>
      </c>
      <c r="K27" s="32"/>
    </row>
    <row r="28" spans="1:11" x14ac:dyDescent="0.3">
      <c r="A28" s="2">
        <v>44926</v>
      </c>
      <c r="B28" s="3">
        <v>24</v>
      </c>
      <c r="C28" s="3" t="s">
        <v>63</v>
      </c>
      <c r="D28" s="3" t="s">
        <v>22</v>
      </c>
      <c r="E28" s="3" t="s">
        <v>23</v>
      </c>
      <c r="F28" s="3" t="s">
        <v>64</v>
      </c>
      <c r="G28" s="3">
        <v>70</v>
      </c>
      <c r="H28" s="4">
        <v>30</v>
      </c>
      <c r="K28" s="32" t="s">
        <v>140</v>
      </c>
    </row>
    <row r="29" spans="1:11" x14ac:dyDescent="0.3">
      <c r="A29" s="2">
        <v>44957</v>
      </c>
      <c r="B29" s="3">
        <v>25</v>
      </c>
      <c r="C29" s="3" t="s">
        <v>65</v>
      </c>
      <c r="D29" s="3" t="s">
        <v>66</v>
      </c>
      <c r="E29" s="3" t="s">
        <v>67</v>
      </c>
      <c r="F29" s="3" t="s">
        <v>68</v>
      </c>
      <c r="G29" s="3">
        <v>75</v>
      </c>
      <c r="H29" s="4">
        <v>29.33</v>
      </c>
      <c r="K29" s="32"/>
    </row>
    <row r="30" spans="1:11" x14ac:dyDescent="0.3">
      <c r="A30" s="2">
        <v>44985</v>
      </c>
      <c r="B30" s="3">
        <v>26</v>
      </c>
      <c r="C30" s="3" t="s">
        <v>69</v>
      </c>
      <c r="D30" s="3" t="s">
        <v>66</v>
      </c>
      <c r="E30" s="3" t="s">
        <v>70</v>
      </c>
      <c r="F30" s="3" t="s">
        <v>71</v>
      </c>
      <c r="G30" s="3">
        <v>80</v>
      </c>
      <c r="H30" s="4">
        <v>28.75</v>
      </c>
      <c r="K30" s="32" t="s">
        <v>141</v>
      </c>
    </row>
    <row r="31" spans="1:11" x14ac:dyDescent="0.3">
      <c r="A31" s="2">
        <v>45016</v>
      </c>
      <c r="B31" s="3">
        <v>27</v>
      </c>
      <c r="C31" s="3" t="s">
        <v>41</v>
      </c>
      <c r="D31" s="3" t="s">
        <v>13</v>
      </c>
      <c r="E31" s="3" t="s">
        <v>72</v>
      </c>
      <c r="F31" s="3" t="s">
        <v>73</v>
      </c>
      <c r="G31" s="3">
        <v>0</v>
      </c>
      <c r="H31" s="3" t="s">
        <v>20</v>
      </c>
      <c r="K31" s="32"/>
    </row>
    <row r="32" spans="1:11" x14ac:dyDescent="0.3">
      <c r="A32" s="2">
        <v>45046</v>
      </c>
      <c r="B32" s="3">
        <v>28</v>
      </c>
      <c r="C32" s="3" t="s">
        <v>39</v>
      </c>
      <c r="D32" s="3" t="s">
        <v>22</v>
      </c>
      <c r="E32" s="3" t="s">
        <v>74</v>
      </c>
      <c r="F32" s="3" t="s">
        <v>75</v>
      </c>
      <c r="G32" s="3">
        <v>85</v>
      </c>
      <c r="H32" s="4">
        <v>29.41</v>
      </c>
      <c r="K32" s="32" t="s">
        <v>142</v>
      </c>
    </row>
    <row r="33" spans="11:13" x14ac:dyDescent="0.3">
      <c r="K33" s="32"/>
    </row>
    <row r="34" spans="11:13" x14ac:dyDescent="0.3">
      <c r="K34" s="32" t="s">
        <v>143</v>
      </c>
    </row>
    <row r="36" spans="11:13" x14ac:dyDescent="0.3">
      <c r="K36" t="s">
        <v>144</v>
      </c>
    </row>
    <row r="40" spans="11:13" ht="23.4" x14ac:dyDescent="0.3">
      <c r="K40" s="34" t="s">
        <v>145</v>
      </c>
    </row>
    <row r="42" spans="11:13" x14ac:dyDescent="0.3">
      <c r="K42" t="s">
        <v>146</v>
      </c>
    </row>
    <row r="43" spans="11:13" x14ac:dyDescent="0.3">
      <c r="K43" t="s">
        <v>147</v>
      </c>
    </row>
    <row r="45" spans="11:13" x14ac:dyDescent="0.3">
      <c r="K45" t="s">
        <v>148</v>
      </c>
    </row>
    <row r="47" spans="11:13" x14ac:dyDescent="0.3">
      <c r="K47" s="38" t="s">
        <v>149</v>
      </c>
      <c r="L47" s="38" t="s">
        <v>150</v>
      </c>
      <c r="M47" s="38" t="s">
        <v>151</v>
      </c>
    </row>
    <row r="48" spans="11:13" x14ac:dyDescent="0.3">
      <c r="K48" s="40" t="s">
        <v>152</v>
      </c>
      <c r="L48" s="39" t="s">
        <v>153</v>
      </c>
      <c r="M48" s="39" t="s">
        <v>154</v>
      </c>
    </row>
    <row r="49" spans="11:13" ht="28.8" x14ac:dyDescent="0.3">
      <c r="K49" s="40" t="s">
        <v>155</v>
      </c>
      <c r="L49" s="39" t="s">
        <v>156</v>
      </c>
      <c r="M49" s="39" t="s">
        <v>157</v>
      </c>
    </row>
    <row r="50" spans="11:13" ht="28.8" x14ac:dyDescent="0.3">
      <c r="K50" s="40" t="s">
        <v>158</v>
      </c>
      <c r="L50" s="39" t="s">
        <v>159</v>
      </c>
      <c r="M50" s="39" t="s">
        <v>160</v>
      </c>
    </row>
    <row r="51" spans="11:13" x14ac:dyDescent="0.3">
      <c r="K51" s="40" t="s">
        <v>161</v>
      </c>
      <c r="L51" s="39" t="s">
        <v>162</v>
      </c>
      <c r="M51" s="39" t="s">
        <v>163</v>
      </c>
    </row>
    <row r="52" spans="11:13" x14ac:dyDescent="0.3">
      <c r="K52" s="40" t="s">
        <v>164</v>
      </c>
      <c r="L52" s="39" t="s">
        <v>165</v>
      </c>
      <c r="M52" s="39" t="s">
        <v>166</v>
      </c>
    </row>
    <row r="53" spans="11:13" x14ac:dyDescent="0.3">
      <c r="K53" s="40" t="s">
        <v>167</v>
      </c>
      <c r="L53" s="39" t="s">
        <v>168</v>
      </c>
      <c r="M53" s="39" t="s">
        <v>169</v>
      </c>
    </row>
    <row r="54" spans="11:13" x14ac:dyDescent="0.3">
      <c r="K54" s="40" t="s">
        <v>170</v>
      </c>
      <c r="L54" s="39" t="s">
        <v>171</v>
      </c>
      <c r="M54" s="39" t="s">
        <v>172</v>
      </c>
    </row>
    <row r="57" spans="11:13" ht="23.4" x14ac:dyDescent="0.3">
      <c r="K57" s="34" t="s">
        <v>173</v>
      </c>
    </row>
    <row r="59" spans="11:13" x14ac:dyDescent="0.3">
      <c r="K59" t="s">
        <v>174</v>
      </c>
    </row>
    <row r="60" spans="11:13" x14ac:dyDescent="0.3">
      <c r="K60" s="32"/>
    </row>
    <row r="61" spans="11:13" x14ac:dyDescent="0.3">
      <c r="K61" s="32" t="s">
        <v>175</v>
      </c>
    </row>
    <row r="62" spans="11:13" x14ac:dyDescent="0.3">
      <c r="K62" s="32"/>
    </row>
    <row r="63" spans="11:13" x14ac:dyDescent="0.3">
      <c r="K63" s="32" t="s">
        <v>176</v>
      </c>
    </row>
    <row r="64" spans="11:13" x14ac:dyDescent="0.3">
      <c r="K64" s="32"/>
    </row>
    <row r="65" spans="11:13" ht="15" x14ac:dyDescent="0.3">
      <c r="K65" s="32" t="s">
        <v>177</v>
      </c>
    </row>
    <row r="66" spans="11:13" x14ac:dyDescent="0.3">
      <c r="K66" s="32"/>
    </row>
    <row r="67" spans="11:13" x14ac:dyDescent="0.3">
      <c r="K67" s="32" t="s">
        <v>178</v>
      </c>
    </row>
    <row r="69" spans="11:13" x14ac:dyDescent="0.3">
      <c r="K69" t="s">
        <v>179</v>
      </c>
    </row>
    <row r="70" spans="11:13" x14ac:dyDescent="0.3">
      <c r="K70" t="s">
        <v>180</v>
      </c>
    </row>
    <row r="72" spans="11:13" ht="23.4" x14ac:dyDescent="0.3">
      <c r="K72" s="34" t="s">
        <v>181</v>
      </c>
    </row>
    <row r="74" spans="11:13" x14ac:dyDescent="0.3">
      <c r="K74" s="38" t="s">
        <v>182</v>
      </c>
      <c r="L74" s="38" t="s">
        <v>183</v>
      </c>
      <c r="M74" s="38" t="s">
        <v>184</v>
      </c>
    </row>
    <row r="75" spans="11:13" x14ac:dyDescent="0.3">
      <c r="K75" s="39" t="s">
        <v>185</v>
      </c>
      <c r="L75" s="39" t="s">
        <v>186</v>
      </c>
      <c r="M75" s="39" t="s">
        <v>187</v>
      </c>
    </row>
    <row r="76" spans="11:13" ht="15" x14ac:dyDescent="0.3">
      <c r="K76" s="39" t="s">
        <v>188</v>
      </c>
      <c r="L76" s="41" t="str">
        <f>TRIM(A2)</f>
        <v>44227</v>
      </c>
      <c r="M76" s="39" t="s">
        <v>189</v>
      </c>
    </row>
    <row r="77" spans="11:13" ht="15" x14ac:dyDescent="0.3">
      <c r="K77" s="39" t="s">
        <v>190</v>
      </c>
      <c r="L77" s="41" t="str">
        <f>PROPER(A2)</f>
        <v>44227</v>
      </c>
      <c r="M77" s="39" t="s">
        <v>191</v>
      </c>
    </row>
    <row r="78" spans="11:13" x14ac:dyDescent="0.3">
      <c r="K78" s="39" t="s">
        <v>192</v>
      </c>
      <c r="L78" s="39" t="s">
        <v>193</v>
      </c>
      <c r="M78" s="39" t="s">
        <v>194</v>
      </c>
    </row>
    <row r="79" spans="11:13" x14ac:dyDescent="0.3">
      <c r="K79" s="39" t="s">
        <v>195</v>
      </c>
      <c r="L79" s="39" t="s">
        <v>196</v>
      </c>
      <c r="M79" s="39" t="s">
        <v>197</v>
      </c>
    </row>
    <row r="80" spans="11:13" x14ac:dyDescent="0.3">
      <c r="K80" s="39" t="s">
        <v>198</v>
      </c>
      <c r="L80" s="39" t="s">
        <v>199</v>
      </c>
      <c r="M80" s="39" t="s">
        <v>200</v>
      </c>
    </row>
    <row r="81" spans="11:13" x14ac:dyDescent="0.3">
      <c r="K81" s="39" t="s">
        <v>201</v>
      </c>
      <c r="L81" s="39" t="s">
        <v>202</v>
      </c>
      <c r="M81" s="39" t="s">
        <v>203</v>
      </c>
    </row>
    <row r="82" spans="11:13" ht="15" x14ac:dyDescent="0.3">
      <c r="K82" s="39" t="s">
        <v>204</v>
      </c>
      <c r="L82" s="41" t="str">
        <f>IFERROR(formula,"")</f>
        <v/>
      </c>
      <c r="M82" s="39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7" sqref="A7:XFD7"/>
    </sheetView>
  </sheetViews>
  <sheetFormatPr defaultRowHeight="14.4" x14ac:dyDescent="0.3"/>
  <cols>
    <col min="3" max="3" width="12" bestFit="1" customWidth="1"/>
  </cols>
  <sheetData>
    <row r="1" spans="1:7" x14ac:dyDescent="0.3">
      <c r="A1" s="42" t="s">
        <v>0</v>
      </c>
      <c r="B1" s="42" t="s">
        <v>206</v>
      </c>
      <c r="C1" s="42" t="s">
        <v>207</v>
      </c>
      <c r="D1" s="42"/>
      <c r="E1" s="42" t="s">
        <v>208</v>
      </c>
    </row>
    <row r="2" spans="1:7" x14ac:dyDescent="0.3">
      <c r="A2" s="43">
        <v>39672</v>
      </c>
      <c r="B2" s="44" t="s">
        <v>209</v>
      </c>
      <c r="C2" s="44" t="s">
        <v>210</v>
      </c>
      <c r="D2" s="45">
        <v>20217.3</v>
      </c>
      <c r="E2" s="45">
        <v>18397.742999999999</v>
      </c>
    </row>
    <row r="3" spans="1:7" x14ac:dyDescent="0.3">
      <c r="A3" s="43">
        <v>40378</v>
      </c>
      <c r="B3" s="44" t="s">
        <v>211</v>
      </c>
      <c r="C3" s="44" t="s">
        <v>212</v>
      </c>
      <c r="D3" s="45">
        <v>32557.81</v>
      </c>
      <c r="E3" s="45">
        <v>30278.763300000002</v>
      </c>
      <c r="G3" s="47"/>
    </row>
    <row r="4" spans="1:7" x14ac:dyDescent="0.3">
      <c r="A4" s="43">
        <v>39487</v>
      </c>
      <c r="B4" s="44" t="s">
        <v>209</v>
      </c>
      <c r="C4" s="44" t="s">
        <v>213</v>
      </c>
      <c r="D4" s="45">
        <v>20796.04</v>
      </c>
      <c r="E4" s="45">
        <v>14557.227999999999</v>
      </c>
      <c r="G4" s="47"/>
    </row>
    <row r="5" spans="1:7" x14ac:dyDescent="0.3">
      <c r="A5" s="43">
        <v>39697</v>
      </c>
      <c r="B5" s="44" t="s">
        <v>214</v>
      </c>
      <c r="C5" s="44" t="s">
        <v>215</v>
      </c>
      <c r="D5" s="45">
        <v>21729.09</v>
      </c>
      <c r="E5" s="45">
        <v>19447.535550000001</v>
      </c>
      <c r="G5" s="47"/>
    </row>
    <row r="6" spans="1:7" x14ac:dyDescent="0.3">
      <c r="A6" s="43">
        <v>39986</v>
      </c>
      <c r="B6" s="44" t="s">
        <v>216</v>
      </c>
      <c r="C6" s="44" t="s">
        <v>215</v>
      </c>
      <c r="D6" s="45">
        <v>27274.02</v>
      </c>
      <c r="E6" s="45">
        <v>24001.137600000002</v>
      </c>
      <c r="G6" s="47"/>
    </row>
    <row r="7" spans="1:7" x14ac:dyDescent="0.3">
      <c r="A7" s="43">
        <v>39881</v>
      </c>
      <c r="B7" s="44" t="s">
        <v>209</v>
      </c>
      <c r="C7" s="44" t="s">
        <v>217</v>
      </c>
      <c r="D7" s="45">
        <v>25254.23</v>
      </c>
      <c r="E7" s="45">
        <v>22981.349300000002</v>
      </c>
      <c r="G7" s="47"/>
    </row>
    <row r="8" spans="1:7" x14ac:dyDescent="0.3">
      <c r="A8" s="43">
        <v>40460</v>
      </c>
      <c r="B8" s="44"/>
      <c r="C8" s="44" t="s">
        <v>210</v>
      </c>
      <c r="D8" s="45">
        <v>17126.37</v>
      </c>
      <c r="E8" s="45">
        <v>15584.9967</v>
      </c>
      <c r="G8" s="47"/>
    </row>
    <row r="9" spans="1:7" x14ac:dyDescent="0.3">
      <c r="A9" s="43">
        <v>40491</v>
      </c>
      <c r="B9" s="44"/>
      <c r="C9" s="44" t="s">
        <v>212</v>
      </c>
      <c r="D9" s="45">
        <v>27204.91</v>
      </c>
      <c r="E9" s="45">
        <v>25300.566300000002</v>
      </c>
      <c r="G9" s="47"/>
    </row>
    <row r="10" spans="1:7" x14ac:dyDescent="0.3">
      <c r="A10" s="43">
        <v>40328</v>
      </c>
      <c r="B10" s="44"/>
      <c r="C10" s="44" t="s">
        <v>217</v>
      </c>
      <c r="D10" s="45">
        <v>16415.22</v>
      </c>
      <c r="E10" s="45">
        <v>14937.850200000001</v>
      </c>
    </row>
    <row r="11" spans="1:7" x14ac:dyDescent="0.3">
      <c r="A11" s="43">
        <v>40115</v>
      </c>
      <c r="B11" s="44"/>
      <c r="C11" s="44" t="s">
        <v>218</v>
      </c>
      <c r="D11" s="45">
        <v>29953.89</v>
      </c>
      <c r="E11" s="45">
        <v>26958.501</v>
      </c>
    </row>
    <row r="12" spans="1:7" x14ac:dyDescent="0.3">
      <c r="A12" s="43">
        <v>39948</v>
      </c>
      <c r="B12" s="44"/>
      <c r="C12" s="44" t="s">
        <v>219</v>
      </c>
      <c r="D12" s="45">
        <v>31602.34</v>
      </c>
      <c r="E12" s="45">
        <v>28442.106</v>
      </c>
    </row>
    <row r="13" spans="1:7" x14ac:dyDescent="0.3">
      <c r="A13" s="43">
        <v>40265</v>
      </c>
      <c r="B13" s="44"/>
      <c r="C13" s="44" t="s">
        <v>221</v>
      </c>
      <c r="D13" s="45">
        <v>40818.31</v>
      </c>
      <c r="E13" s="45">
        <v>34695.563499999997</v>
      </c>
    </row>
    <row r="14" spans="1:7" x14ac:dyDescent="0.3">
      <c r="A14" s="43">
        <v>39710</v>
      </c>
      <c r="B14" s="44"/>
      <c r="C14" s="44" t="s">
        <v>222</v>
      </c>
      <c r="D14" s="45">
        <v>19679.560000000001</v>
      </c>
      <c r="E14" s="45">
        <v>12791.714000000002</v>
      </c>
    </row>
    <row r="15" spans="1:7" x14ac:dyDescent="0.3">
      <c r="A15" s="43">
        <v>40239</v>
      </c>
      <c r="B15" s="44" t="s">
        <v>209</v>
      </c>
      <c r="C15" s="44" t="s">
        <v>223</v>
      </c>
      <c r="D15" s="45">
        <v>17659.490000000002</v>
      </c>
      <c r="E15" s="45">
        <v>16070.135900000001</v>
      </c>
    </row>
    <row r="16" spans="1:7" x14ac:dyDescent="0.3">
      <c r="A16" s="43">
        <v>40291</v>
      </c>
      <c r="B16" s="44" t="s">
        <v>220</v>
      </c>
      <c r="C16" s="44" t="s">
        <v>224</v>
      </c>
      <c r="D16" s="45">
        <v>22001.86</v>
      </c>
      <c r="E16" s="45">
        <v>19361.6368</v>
      </c>
    </row>
    <row r="17" spans="1:5" x14ac:dyDescent="0.3">
      <c r="A17" s="43">
        <v>40129</v>
      </c>
      <c r="B17" s="44" t="s">
        <v>220</v>
      </c>
      <c r="C17" s="44" t="s">
        <v>225</v>
      </c>
      <c r="D17" s="45">
        <v>26235.72</v>
      </c>
      <c r="E17" s="45">
        <v>23087.4336</v>
      </c>
    </row>
    <row r="18" spans="1:5" x14ac:dyDescent="0.3">
      <c r="A18" s="43">
        <v>40445</v>
      </c>
      <c r="B18" s="44" t="s">
        <v>209</v>
      </c>
      <c r="C18" s="44" t="s">
        <v>226</v>
      </c>
      <c r="D18" s="45">
        <v>25710.57</v>
      </c>
      <c r="E18" s="45">
        <v>16711.870500000001</v>
      </c>
    </row>
    <row r="19" spans="1:5" x14ac:dyDescent="0.3">
      <c r="A19" s="43">
        <v>39455</v>
      </c>
      <c r="B19" s="44" t="s">
        <v>227</v>
      </c>
      <c r="C19" s="44" t="s">
        <v>215</v>
      </c>
      <c r="D19" s="45">
        <v>28373.370000000003</v>
      </c>
      <c r="E19" s="45">
        <v>24826.698750000003</v>
      </c>
    </row>
    <row r="20" spans="1:5" x14ac:dyDescent="0.3">
      <c r="A20" s="43">
        <v>39461</v>
      </c>
      <c r="B20" s="44" t="s">
        <v>209</v>
      </c>
      <c r="C20" s="44" t="s">
        <v>217</v>
      </c>
      <c r="D20" s="45">
        <v>25489.66</v>
      </c>
      <c r="E20" s="45">
        <v>16568.279000000002</v>
      </c>
    </row>
    <row r="21" spans="1:5" x14ac:dyDescent="0.3">
      <c r="A21" s="48"/>
      <c r="C21" s="46" t="s">
        <v>89</v>
      </c>
      <c r="D21" s="49">
        <f>SUM(D2:D20)</f>
        <v>476099.76</v>
      </c>
    </row>
    <row r="22" spans="1:5" x14ac:dyDescent="0.3">
      <c r="A22" s="48"/>
    </row>
    <row r="23" spans="1:5" x14ac:dyDescent="0.3">
      <c r="A23" s="4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J10" sqref="J10"/>
    </sheetView>
  </sheetViews>
  <sheetFormatPr defaultRowHeight="14.4" x14ac:dyDescent="0.3"/>
  <cols>
    <col min="1" max="1" width="24.88671875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3">
      <c r="A2" s="2">
        <v>44227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10</v>
      </c>
      <c r="H2" s="4">
        <v>20</v>
      </c>
      <c r="K2" s="33" t="s">
        <v>363</v>
      </c>
    </row>
    <row r="3" spans="1:11" x14ac:dyDescent="0.3">
      <c r="A3" s="2">
        <v>44255</v>
      </c>
      <c r="B3" s="3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15</v>
      </c>
      <c r="H3" s="4">
        <v>10</v>
      </c>
    </row>
    <row r="4" spans="1:11" ht="9.9" customHeight="1" x14ac:dyDescent="0.3">
      <c r="A4" s="2">
        <v>44286</v>
      </c>
      <c r="B4" s="3">
        <v>3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0</v>
      </c>
      <c r="H4" s="3" t="s">
        <v>20</v>
      </c>
      <c r="K4" t="s">
        <v>359</v>
      </c>
    </row>
    <row r="5" spans="1:11" ht="9.9" customHeight="1" x14ac:dyDescent="0.3">
      <c r="A5" s="2">
        <v>44316</v>
      </c>
      <c r="B5" s="3">
        <v>4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25</v>
      </c>
      <c r="H5" s="4">
        <v>10</v>
      </c>
    </row>
    <row r="6" spans="1:11" x14ac:dyDescent="0.3">
      <c r="A6" s="2">
        <v>44347</v>
      </c>
      <c r="B6" s="3">
        <v>5</v>
      </c>
      <c r="C6" s="3" t="s">
        <v>25</v>
      </c>
      <c r="D6" s="3" t="s">
        <v>13</v>
      </c>
      <c r="E6" s="3" t="s">
        <v>10</v>
      </c>
      <c r="F6" s="3" t="s">
        <v>26</v>
      </c>
      <c r="G6" s="3">
        <v>30</v>
      </c>
      <c r="H6" s="4">
        <v>16.670000000000002</v>
      </c>
      <c r="K6" t="s">
        <v>360</v>
      </c>
    </row>
    <row r="7" spans="1:11" x14ac:dyDescent="0.3">
      <c r="A7" s="2">
        <v>44377</v>
      </c>
      <c r="B7" s="3">
        <v>6</v>
      </c>
      <c r="C7" s="3" t="s">
        <v>27</v>
      </c>
      <c r="D7" s="3"/>
      <c r="E7" s="3" t="s">
        <v>14</v>
      </c>
      <c r="F7" s="3" t="s">
        <v>28</v>
      </c>
      <c r="G7" s="3">
        <v>0</v>
      </c>
      <c r="H7" s="3" t="s">
        <v>20</v>
      </c>
    </row>
    <row r="8" spans="1:11" x14ac:dyDescent="0.3">
      <c r="A8" s="2">
        <v>44408</v>
      </c>
      <c r="B8" s="3">
        <v>7</v>
      </c>
      <c r="C8" s="3" t="s">
        <v>29</v>
      </c>
      <c r="D8" s="3" t="s">
        <v>17</v>
      </c>
      <c r="E8" s="3" t="s">
        <v>18</v>
      </c>
      <c r="F8" s="3" t="s">
        <v>30</v>
      </c>
      <c r="G8" s="3">
        <v>35</v>
      </c>
      <c r="H8" s="4">
        <v>10</v>
      </c>
      <c r="K8" t="s">
        <v>361</v>
      </c>
    </row>
    <row r="9" spans="1:11" x14ac:dyDescent="0.3">
      <c r="A9" s="2">
        <v>44439</v>
      </c>
      <c r="B9" s="3">
        <v>8</v>
      </c>
      <c r="C9" s="3" t="s">
        <v>31</v>
      </c>
      <c r="D9" s="3" t="s">
        <v>22</v>
      </c>
      <c r="E9" s="3" t="s">
        <v>23</v>
      </c>
      <c r="F9" s="3" t="s">
        <v>32</v>
      </c>
      <c r="G9" s="3">
        <v>40</v>
      </c>
      <c r="H9" s="4">
        <v>15</v>
      </c>
    </row>
    <row r="10" spans="1:11" x14ac:dyDescent="0.3">
      <c r="A10" s="2">
        <v>44469</v>
      </c>
      <c r="B10" s="3">
        <v>9</v>
      </c>
      <c r="C10" s="3" t="s">
        <v>33</v>
      </c>
      <c r="D10" s="3" t="s">
        <v>13</v>
      </c>
      <c r="E10" s="3" t="s">
        <v>10</v>
      </c>
      <c r="F10" s="3" t="s">
        <v>34</v>
      </c>
      <c r="G10" s="3">
        <v>45</v>
      </c>
      <c r="H10" s="4">
        <v>12.22</v>
      </c>
      <c r="K10" t="s">
        <v>362</v>
      </c>
    </row>
    <row r="11" spans="1:11" ht="9.9" customHeight="1" x14ac:dyDescent="0.3">
      <c r="A11" s="2">
        <v>44500</v>
      </c>
      <c r="B11" s="3">
        <v>10</v>
      </c>
      <c r="C11" s="3" t="s">
        <v>35</v>
      </c>
      <c r="D11" s="3" t="s">
        <v>9</v>
      </c>
      <c r="E11" s="3" t="s">
        <v>14</v>
      </c>
      <c r="F11" s="3" t="s">
        <v>36</v>
      </c>
      <c r="G11" s="3">
        <v>50</v>
      </c>
      <c r="H11" s="4">
        <v>14</v>
      </c>
    </row>
    <row r="12" spans="1:11" ht="9.9" customHeight="1" x14ac:dyDescent="0.3">
      <c r="A12" s="2">
        <v>44530</v>
      </c>
      <c r="B12" s="3">
        <v>11</v>
      </c>
      <c r="C12" s="3" t="s">
        <v>37</v>
      </c>
      <c r="D12" s="3" t="s">
        <v>17</v>
      </c>
      <c r="E12" s="3" t="s">
        <v>18</v>
      </c>
      <c r="F12" s="3" t="s">
        <v>38</v>
      </c>
      <c r="G12" s="3">
        <v>5</v>
      </c>
      <c r="H12" s="4">
        <v>160</v>
      </c>
    </row>
    <row r="13" spans="1:11" ht="9.9" customHeight="1" x14ac:dyDescent="0.3">
      <c r="A13" s="2">
        <v>44561</v>
      </c>
      <c r="B13" s="3">
        <v>12</v>
      </c>
      <c r="C13" s="3" t="s">
        <v>39</v>
      </c>
      <c r="D13" s="3" t="s">
        <v>22</v>
      </c>
      <c r="E13" s="3" t="s">
        <v>23</v>
      </c>
      <c r="F13" s="3" t="s">
        <v>40</v>
      </c>
      <c r="G13" s="3">
        <v>20</v>
      </c>
      <c r="H13" s="4">
        <v>45</v>
      </c>
    </row>
    <row r="14" spans="1:11" ht="20.100000000000001" customHeight="1" x14ac:dyDescent="0.3">
      <c r="A14" s="2">
        <v>44592</v>
      </c>
      <c r="B14" s="3">
        <v>13</v>
      </c>
      <c r="C14" s="3" t="s">
        <v>41</v>
      </c>
      <c r="D14" s="3" t="s">
        <v>13</v>
      </c>
      <c r="E14" s="3" t="s">
        <v>10</v>
      </c>
      <c r="F14" s="3" t="s">
        <v>42</v>
      </c>
      <c r="G14" s="3">
        <v>0</v>
      </c>
      <c r="H14" s="3" t="s">
        <v>20</v>
      </c>
    </row>
    <row r="15" spans="1:11" ht="20.100000000000001" customHeight="1" x14ac:dyDescent="0.3">
      <c r="A15" s="2">
        <v>44620</v>
      </c>
      <c r="B15" s="3">
        <v>14</v>
      </c>
      <c r="C15" s="3" t="s">
        <v>43</v>
      </c>
      <c r="D15" s="3"/>
      <c r="E15" s="3" t="s">
        <v>14</v>
      </c>
      <c r="F15" s="3" t="s">
        <v>44</v>
      </c>
      <c r="G15" s="3">
        <v>30</v>
      </c>
      <c r="H15" s="4">
        <v>36.67</v>
      </c>
    </row>
    <row r="16" spans="1:11" ht="20.100000000000001" customHeight="1" x14ac:dyDescent="0.3">
      <c r="A16" s="2">
        <v>44316</v>
      </c>
      <c r="B16" s="3">
        <v>4</v>
      </c>
      <c r="C16" s="3" t="s">
        <v>21</v>
      </c>
      <c r="D16" s="3" t="s">
        <v>22</v>
      </c>
      <c r="E16" s="3" t="s">
        <v>23</v>
      </c>
      <c r="F16" s="3" t="s">
        <v>24</v>
      </c>
      <c r="G16" s="3">
        <v>25</v>
      </c>
      <c r="H16" s="4">
        <v>10</v>
      </c>
    </row>
    <row r="17" spans="1:8" ht="20.100000000000001" customHeight="1" x14ac:dyDescent="0.3">
      <c r="A17" s="2">
        <v>44347</v>
      </c>
      <c r="B17" s="3">
        <v>5</v>
      </c>
      <c r="C17" s="3" t="s">
        <v>25</v>
      </c>
      <c r="D17" s="3" t="s">
        <v>13</v>
      </c>
      <c r="E17" s="3" t="s">
        <v>10</v>
      </c>
      <c r="F17" s="3" t="s">
        <v>26</v>
      </c>
      <c r="G17" s="3">
        <v>30</v>
      </c>
      <c r="H17" s="4">
        <v>16.670000000000002</v>
      </c>
    </row>
    <row r="18" spans="1:8" ht="20.100000000000001" customHeight="1" x14ac:dyDescent="0.3">
      <c r="A18" s="2">
        <v>44377</v>
      </c>
      <c r="B18" s="3">
        <v>6</v>
      </c>
      <c r="C18" s="3" t="s">
        <v>27</v>
      </c>
      <c r="D18" s="3"/>
      <c r="E18" s="3" t="s">
        <v>14</v>
      </c>
      <c r="F18" s="3" t="s">
        <v>28</v>
      </c>
      <c r="G18" s="3">
        <v>0</v>
      </c>
      <c r="H18" s="3" t="s">
        <v>20</v>
      </c>
    </row>
    <row r="19" spans="1:8" ht="20.100000000000001" customHeight="1" x14ac:dyDescent="0.3">
      <c r="A19" s="2">
        <v>44651</v>
      </c>
      <c r="B19" s="3">
        <v>15</v>
      </c>
      <c r="C19" s="3" t="s">
        <v>45</v>
      </c>
      <c r="D19" s="3" t="s">
        <v>17</v>
      </c>
      <c r="E19" s="3" t="s">
        <v>18</v>
      </c>
      <c r="F19" s="3" t="s">
        <v>46</v>
      </c>
      <c r="G19" s="3">
        <v>35</v>
      </c>
      <c r="H19" s="4">
        <v>34.29</v>
      </c>
    </row>
    <row r="20" spans="1:8" ht="20.100000000000001" customHeight="1" x14ac:dyDescent="0.3">
      <c r="A20" s="2">
        <v>44681</v>
      </c>
      <c r="B20" s="3">
        <v>16</v>
      </c>
      <c r="C20" s="3" t="s">
        <v>47</v>
      </c>
      <c r="D20" s="3"/>
      <c r="E20" s="3" t="s">
        <v>23</v>
      </c>
      <c r="F20" s="3" t="s">
        <v>48</v>
      </c>
      <c r="G20" s="3">
        <v>0</v>
      </c>
      <c r="H20" s="3" t="s">
        <v>20</v>
      </c>
    </row>
    <row r="21" spans="1:8" ht="20.100000000000001" customHeight="1" x14ac:dyDescent="0.3">
      <c r="A21" s="2">
        <v>44712</v>
      </c>
      <c r="B21" s="3">
        <v>17</v>
      </c>
      <c r="C21" s="3" t="s">
        <v>49</v>
      </c>
      <c r="D21" s="3" t="s">
        <v>13</v>
      </c>
      <c r="E21" s="3" t="s">
        <v>10</v>
      </c>
      <c r="F21" s="3" t="s">
        <v>50</v>
      </c>
      <c r="G21" s="3">
        <v>40</v>
      </c>
      <c r="H21" s="4">
        <v>35</v>
      </c>
    </row>
    <row r="22" spans="1:8" ht="20.100000000000001" customHeight="1" x14ac:dyDescent="0.3">
      <c r="A22" s="2">
        <v>44742</v>
      </c>
      <c r="B22" s="3">
        <v>18</v>
      </c>
      <c r="C22" s="3" t="s">
        <v>51</v>
      </c>
      <c r="D22" s="3" t="s">
        <v>9</v>
      </c>
      <c r="E22" s="3" t="s">
        <v>14</v>
      </c>
      <c r="F22" s="3" t="s">
        <v>52</v>
      </c>
      <c r="G22" s="3">
        <v>45</v>
      </c>
      <c r="H22" s="4">
        <v>33.33</v>
      </c>
    </row>
    <row r="23" spans="1:8" ht="20.100000000000001" customHeight="1" x14ac:dyDescent="0.3">
      <c r="A23" s="2">
        <v>44773</v>
      </c>
      <c r="B23" s="3">
        <v>19</v>
      </c>
      <c r="C23" s="3" t="s">
        <v>53</v>
      </c>
      <c r="D23" s="3" t="s">
        <v>17</v>
      </c>
      <c r="E23" s="3" t="s">
        <v>18</v>
      </c>
      <c r="F23" s="3" t="s">
        <v>54</v>
      </c>
      <c r="G23" s="3">
        <v>50</v>
      </c>
      <c r="H23" s="4">
        <v>32</v>
      </c>
    </row>
    <row r="24" spans="1:8" ht="20.100000000000001" customHeight="1" x14ac:dyDescent="0.3">
      <c r="A24" s="2">
        <v>44804</v>
      </c>
      <c r="B24" s="3">
        <v>20</v>
      </c>
      <c r="C24" s="3" t="s">
        <v>55</v>
      </c>
      <c r="D24" s="3" t="s">
        <v>22</v>
      </c>
      <c r="E24" s="3" t="s">
        <v>23</v>
      </c>
      <c r="F24" s="3" t="s">
        <v>56</v>
      </c>
      <c r="G24" s="3">
        <v>55</v>
      </c>
      <c r="H24" s="4">
        <v>30.91</v>
      </c>
    </row>
    <row r="25" spans="1:8" ht="20.100000000000001" customHeight="1" x14ac:dyDescent="0.3">
      <c r="A25" s="2">
        <v>44834</v>
      </c>
      <c r="B25" s="3">
        <v>21</v>
      </c>
      <c r="C25" s="3" t="s">
        <v>57</v>
      </c>
      <c r="D25" s="3" t="s">
        <v>13</v>
      </c>
      <c r="E25" s="3" t="s">
        <v>10</v>
      </c>
      <c r="F25" s="3" t="s">
        <v>58</v>
      </c>
      <c r="G25" s="3">
        <v>60</v>
      </c>
      <c r="H25" s="4">
        <v>30</v>
      </c>
    </row>
    <row r="26" spans="1:8" ht="20.100000000000001" customHeight="1" x14ac:dyDescent="0.3">
      <c r="A26" s="2">
        <v>44865</v>
      </c>
      <c r="B26" s="3">
        <v>22</v>
      </c>
      <c r="C26" s="3" t="s">
        <v>59</v>
      </c>
      <c r="D26" s="3" t="s">
        <v>9</v>
      </c>
      <c r="E26" s="3" t="s">
        <v>14</v>
      </c>
      <c r="F26" s="3" t="s">
        <v>60</v>
      </c>
      <c r="G26" s="3">
        <v>0</v>
      </c>
      <c r="H26" s="3" t="s">
        <v>20</v>
      </c>
    </row>
    <row r="27" spans="1:8" ht="20.100000000000001" customHeight="1" x14ac:dyDescent="0.3">
      <c r="A27" s="2">
        <v>44895</v>
      </c>
      <c r="B27" s="3">
        <v>23</v>
      </c>
      <c r="C27" s="3" t="s">
        <v>61</v>
      </c>
      <c r="D27" s="3" t="s">
        <v>17</v>
      </c>
      <c r="E27" s="3" t="s">
        <v>18</v>
      </c>
      <c r="F27" s="3" t="s">
        <v>62</v>
      </c>
      <c r="G27" s="3">
        <v>65</v>
      </c>
      <c r="H27" s="4">
        <v>30.77</v>
      </c>
    </row>
    <row r="28" spans="1:8" ht="20.100000000000001" customHeight="1" x14ac:dyDescent="0.3">
      <c r="A28" s="2">
        <v>44926</v>
      </c>
      <c r="B28" s="3">
        <v>24</v>
      </c>
      <c r="C28" s="3" t="s">
        <v>63</v>
      </c>
      <c r="D28" s="3" t="s">
        <v>22</v>
      </c>
      <c r="E28" s="3" t="s">
        <v>23</v>
      </c>
      <c r="F28" s="3" t="s">
        <v>64</v>
      </c>
      <c r="G28" s="3">
        <v>70</v>
      </c>
      <c r="H28" s="4">
        <v>30</v>
      </c>
    </row>
    <row r="29" spans="1:8" ht="20.100000000000001" customHeight="1" x14ac:dyDescent="0.3">
      <c r="A29" s="2">
        <v>44957</v>
      </c>
      <c r="B29" s="3">
        <v>25</v>
      </c>
      <c r="C29" s="3" t="s">
        <v>65</v>
      </c>
      <c r="D29" s="3" t="s">
        <v>66</v>
      </c>
      <c r="E29" s="3" t="s">
        <v>67</v>
      </c>
      <c r="F29" s="3" t="s">
        <v>68</v>
      </c>
      <c r="G29" s="3">
        <v>75</v>
      </c>
      <c r="H29" s="4">
        <v>29.33</v>
      </c>
    </row>
    <row r="30" spans="1:8" ht="20.100000000000001" customHeight="1" x14ac:dyDescent="0.3">
      <c r="A30" s="2">
        <v>44985</v>
      </c>
      <c r="B30" s="3">
        <v>26</v>
      </c>
      <c r="C30" s="3" t="s">
        <v>69</v>
      </c>
      <c r="D30" s="3" t="s">
        <v>66</v>
      </c>
      <c r="E30" s="3" t="s">
        <v>70</v>
      </c>
      <c r="F30" s="3" t="s">
        <v>71</v>
      </c>
      <c r="G30" s="3">
        <v>80</v>
      </c>
      <c r="H30" s="4">
        <v>28.75</v>
      </c>
    </row>
    <row r="31" spans="1:8" ht="20.100000000000001" customHeight="1" x14ac:dyDescent="0.3">
      <c r="A31" s="2">
        <v>45016</v>
      </c>
      <c r="B31" s="3">
        <v>27</v>
      </c>
      <c r="C31" s="3" t="s">
        <v>41</v>
      </c>
      <c r="D31" s="3" t="s">
        <v>13</v>
      </c>
      <c r="E31" s="3" t="s">
        <v>72</v>
      </c>
      <c r="F31" s="3" t="s">
        <v>73</v>
      </c>
      <c r="G31" s="3">
        <v>0</v>
      </c>
      <c r="H31" s="3" t="s">
        <v>20</v>
      </c>
    </row>
    <row r="32" spans="1:8" ht="20.100000000000001" customHeight="1" x14ac:dyDescent="0.3">
      <c r="A32" s="2">
        <v>45046</v>
      </c>
      <c r="B32" s="3">
        <v>28</v>
      </c>
      <c r="C32" s="3" t="s">
        <v>39</v>
      </c>
      <c r="D32" s="3" t="s">
        <v>22</v>
      </c>
      <c r="E32" s="3" t="s">
        <v>74</v>
      </c>
      <c r="F32" s="3" t="s">
        <v>75</v>
      </c>
      <c r="G32" s="3">
        <v>85</v>
      </c>
      <c r="H32" s="4">
        <v>29.41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workbookViewId="0">
      <selection activeCell="O28" sqref="O28"/>
    </sheetView>
  </sheetViews>
  <sheetFormatPr defaultRowHeight="14.4" x14ac:dyDescent="0.3"/>
  <sheetData>
    <row r="1" spans="1:10" ht="39.6" x14ac:dyDescent="0.3">
      <c r="A1" s="5" t="s">
        <v>76</v>
      </c>
      <c r="B1" s="5"/>
      <c r="C1" s="5"/>
      <c r="D1" s="5"/>
      <c r="E1" s="5"/>
      <c r="F1" s="5"/>
      <c r="G1" s="5"/>
      <c r="H1" s="5"/>
      <c r="J1" s="31" t="s">
        <v>94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32"/>
    </row>
    <row r="3" spans="1:10" x14ac:dyDescent="0.3">
      <c r="A3" s="2">
        <v>44227</v>
      </c>
      <c r="B3" s="3">
        <v>1</v>
      </c>
      <c r="C3" s="3" t="s">
        <v>8</v>
      </c>
      <c r="D3" s="3" t="s">
        <v>9</v>
      </c>
      <c r="E3" s="3" t="s">
        <v>10</v>
      </c>
      <c r="F3" s="3" t="s">
        <v>11</v>
      </c>
      <c r="G3" s="3">
        <v>10</v>
      </c>
      <c r="H3" s="4">
        <v>20</v>
      </c>
      <c r="J3" s="32" t="s">
        <v>95</v>
      </c>
    </row>
    <row r="4" spans="1:10" x14ac:dyDescent="0.3">
      <c r="A4" s="2">
        <v>44255</v>
      </c>
      <c r="B4" s="3">
        <v>2</v>
      </c>
      <c r="C4" s="3" t="s">
        <v>12</v>
      </c>
      <c r="D4" s="3" t="s">
        <v>13</v>
      </c>
      <c r="E4" s="3" t="s">
        <v>14</v>
      </c>
      <c r="F4" s="3" t="s">
        <v>15</v>
      </c>
      <c r="G4" s="3">
        <v>15</v>
      </c>
      <c r="H4" s="4">
        <v>10</v>
      </c>
      <c r="J4" s="32"/>
    </row>
    <row r="5" spans="1:10" x14ac:dyDescent="0.3">
      <c r="A5" s="2">
        <v>44286</v>
      </c>
      <c r="B5" s="3">
        <v>3</v>
      </c>
      <c r="C5" s="3" t="s">
        <v>16</v>
      </c>
      <c r="D5" s="3" t="s">
        <v>17</v>
      </c>
      <c r="E5" s="3" t="s">
        <v>18</v>
      </c>
      <c r="F5" s="3" t="s">
        <v>19</v>
      </c>
      <c r="G5" s="3">
        <v>0</v>
      </c>
      <c r="H5" s="3" t="s">
        <v>20</v>
      </c>
      <c r="J5" s="32" t="s">
        <v>96</v>
      </c>
    </row>
    <row r="6" spans="1:10" s="65" customFormat="1" x14ac:dyDescent="0.3">
      <c r="A6" s="62">
        <v>44316</v>
      </c>
      <c r="B6" s="63">
        <v>4</v>
      </c>
      <c r="C6" s="63" t="s">
        <v>21</v>
      </c>
      <c r="D6" s="63" t="s">
        <v>22</v>
      </c>
      <c r="E6" s="63" t="s">
        <v>23</v>
      </c>
      <c r="F6" s="63" t="s">
        <v>24</v>
      </c>
      <c r="G6" s="63">
        <v>25</v>
      </c>
      <c r="H6" s="64">
        <v>10</v>
      </c>
      <c r="J6" s="66"/>
    </row>
    <row r="7" spans="1:10" x14ac:dyDescent="0.3">
      <c r="A7" s="2">
        <v>44347</v>
      </c>
      <c r="B7" s="3">
        <v>5</v>
      </c>
      <c r="C7" s="3" t="s">
        <v>25</v>
      </c>
      <c r="D7" s="3" t="s">
        <v>13</v>
      </c>
      <c r="E7" s="3" t="s">
        <v>10</v>
      </c>
      <c r="F7" s="3" t="s">
        <v>26</v>
      </c>
      <c r="G7" s="3">
        <v>30</v>
      </c>
      <c r="H7" s="4">
        <v>16.670000000000002</v>
      </c>
      <c r="J7" s="32" t="s">
        <v>97</v>
      </c>
    </row>
    <row r="8" spans="1:10" x14ac:dyDescent="0.3">
      <c r="A8" s="2">
        <v>44377</v>
      </c>
      <c r="B8" s="3">
        <v>6</v>
      </c>
      <c r="C8" s="3" t="s">
        <v>27</v>
      </c>
      <c r="D8" s="3"/>
      <c r="E8" s="3" t="s">
        <v>14</v>
      </c>
      <c r="F8" s="3" t="s">
        <v>28</v>
      </c>
      <c r="G8" s="3">
        <v>0</v>
      </c>
      <c r="H8" s="3" t="s">
        <v>20</v>
      </c>
      <c r="J8" s="32"/>
    </row>
    <row r="9" spans="1:10" x14ac:dyDescent="0.3">
      <c r="A9" s="2">
        <v>44408</v>
      </c>
      <c r="B9" s="3">
        <v>7</v>
      </c>
      <c r="C9" s="3" t="s">
        <v>29</v>
      </c>
      <c r="D9" s="3" t="s">
        <v>17</v>
      </c>
      <c r="E9" s="3" t="s">
        <v>18</v>
      </c>
      <c r="F9" s="3" t="s">
        <v>30</v>
      </c>
      <c r="G9" s="3">
        <v>35</v>
      </c>
      <c r="H9" s="4">
        <v>10</v>
      </c>
      <c r="J9" s="32" t="s">
        <v>98</v>
      </c>
    </row>
    <row r="10" spans="1:10" x14ac:dyDescent="0.3">
      <c r="A10" s="2">
        <v>44439</v>
      </c>
      <c r="B10" s="3">
        <v>8</v>
      </c>
      <c r="C10" s="3" t="s">
        <v>31</v>
      </c>
      <c r="D10" s="3" t="s">
        <v>22</v>
      </c>
      <c r="E10" s="3" t="s">
        <v>23</v>
      </c>
      <c r="F10" s="3" t="s">
        <v>32</v>
      </c>
      <c r="G10" s="3">
        <v>40</v>
      </c>
      <c r="H10" s="4">
        <v>15</v>
      </c>
      <c r="J10" s="32"/>
    </row>
    <row r="11" spans="1:10" x14ac:dyDescent="0.3">
      <c r="A11" s="2">
        <v>44469</v>
      </c>
      <c r="B11" s="3">
        <v>9</v>
      </c>
      <c r="C11" s="3" t="s">
        <v>33</v>
      </c>
      <c r="D11" s="3" t="s">
        <v>13</v>
      </c>
      <c r="E11" s="3" t="s">
        <v>10</v>
      </c>
      <c r="F11" s="3" t="s">
        <v>34</v>
      </c>
      <c r="G11" s="3">
        <v>45</v>
      </c>
      <c r="H11" s="4">
        <v>12.22</v>
      </c>
      <c r="J11" s="32" t="s">
        <v>99</v>
      </c>
    </row>
    <row r="12" spans="1:10" x14ac:dyDescent="0.3">
      <c r="A12" s="2">
        <v>44500</v>
      </c>
      <c r="B12" s="3">
        <v>10</v>
      </c>
      <c r="C12" s="3" t="s">
        <v>35</v>
      </c>
      <c r="D12" s="3" t="s">
        <v>9</v>
      </c>
      <c r="E12" s="3" t="s">
        <v>14</v>
      </c>
      <c r="F12" s="3" t="s">
        <v>36</v>
      </c>
      <c r="G12" s="3">
        <v>50</v>
      </c>
      <c r="H12" s="4">
        <v>14</v>
      </c>
    </row>
    <row r="13" spans="1:10" x14ac:dyDescent="0.3">
      <c r="A13" s="2">
        <v>44530</v>
      </c>
      <c r="B13" s="3">
        <v>11</v>
      </c>
      <c r="C13" s="3" t="s">
        <v>37</v>
      </c>
      <c r="D13" s="3" t="s">
        <v>17</v>
      </c>
      <c r="E13" s="3" t="s">
        <v>18</v>
      </c>
      <c r="F13" s="3" t="s">
        <v>38</v>
      </c>
      <c r="G13" s="3">
        <v>5</v>
      </c>
      <c r="H13" s="4">
        <v>160</v>
      </c>
    </row>
    <row r="14" spans="1:10" ht="18" x14ac:dyDescent="0.3">
      <c r="A14" s="2">
        <v>44561</v>
      </c>
      <c r="B14" s="3">
        <v>12</v>
      </c>
      <c r="C14" s="3" t="s">
        <v>39</v>
      </c>
      <c r="D14" s="3" t="s">
        <v>22</v>
      </c>
      <c r="E14" s="3" t="s">
        <v>23</v>
      </c>
      <c r="F14" s="3" t="s">
        <v>40</v>
      </c>
      <c r="G14" s="3">
        <v>20</v>
      </c>
      <c r="H14" s="4">
        <v>45</v>
      </c>
      <c r="J14" s="31" t="s">
        <v>364</v>
      </c>
    </row>
    <row r="15" spans="1:10" x14ac:dyDescent="0.3">
      <c r="A15" s="2">
        <v>44592</v>
      </c>
      <c r="B15" s="3">
        <v>13</v>
      </c>
      <c r="C15" s="3" t="s">
        <v>41</v>
      </c>
      <c r="D15" s="3" t="s">
        <v>13</v>
      </c>
      <c r="E15" s="3" t="s">
        <v>10</v>
      </c>
      <c r="F15" s="3" t="s">
        <v>42</v>
      </c>
      <c r="G15" s="3">
        <v>0</v>
      </c>
      <c r="H15" s="3" t="s">
        <v>20</v>
      </c>
    </row>
    <row r="16" spans="1:10" x14ac:dyDescent="0.3">
      <c r="A16" s="2">
        <v>44620</v>
      </c>
      <c r="B16" s="3">
        <v>14</v>
      </c>
      <c r="C16" s="3" t="s">
        <v>43</v>
      </c>
      <c r="D16" s="3"/>
      <c r="E16" s="3" t="s">
        <v>14</v>
      </c>
      <c r="F16" s="3" t="s">
        <v>44</v>
      </c>
      <c r="G16" s="3">
        <v>30</v>
      </c>
      <c r="H16" s="4">
        <v>36.67</v>
      </c>
      <c r="J16" s="33" t="s">
        <v>365</v>
      </c>
    </row>
    <row r="17" spans="1:12" s="65" customFormat="1" x14ac:dyDescent="0.3">
      <c r="A17" s="62">
        <v>44316</v>
      </c>
      <c r="B17" s="63">
        <v>4</v>
      </c>
      <c r="C17" s="63" t="s">
        <v>21</v>
      </c>
      <c r="D17" s="63" t="s">
        <v>22</v>
      </c>
      <c r="E17" s="63" t="s">
        <v>23</v>
      </c>
      <c r="F17" s="63" t="s">
        <v>24</v>
      </c>
      <c r="G17" s="63">
        <v>25</v>
      </c>
      <c r="H17" s="64">
        <v>10</v>
      </c>
      <c r="J17" s="65" t="s">
        <v>366</v>
      </c>
    </row>
    <row r="18" spans="1:12" x14ac:dyDescent="0.3">
      <c r="A18" s="2">
        <v>44347</v>
      </c>
      <c r="B18" s="3">
        <v>5</v>
      </c>
      <c r="C18" s="3" t="s">
        <v>25</v>
      </c>
      <c r="D18" s="3" t="s">
        <v>13</v>
      </c>
      <c r="E18" s="3" t="s">
        <v>10</v>
      </c>
      <c r="F18" s="3" t="s">
        <v>26</v>
      </c>
      <c r="G18" s="3">
        <v>30</v>
      </c>
      <c r="H18" s="4">
        <v>16.670000000000002</v>
      </c>
    </row>
    <row r="19" spans="1:12" x14ac:dyDescent="0.3">
      <c r="A19" s="2">
        <v>44377</v>
      </c>
      <c r="B19" s="3">
        <v>6</v>
      </c>
      <c r="C19" s="3" t="s">
        <v>27</v>
      </c>
      <c r="D19" s="3"/>
      <c r="E19" s="3" t="s">
        <v>14</v>
      </c>
      <c r="F19" s="3" t="s">
        <v>28</v>
      </c>
      <c r="G19" s="3">
        <v>0</v>
      </c>
      <c r="H19" s="3" t="s">
        <v>20</v>
      </c>
      <c r="J19" s="33" t="s">
        <v>367</v>
      </c>
    </row>
    <row r="20" spans="1:12" x14ac:dyDescent="0.3">
      <c r="A20" s="2">
        <v>44651</v>
      </c>
      <c r="B20" s="3">
        <v>15</v>
      </c>
      <c r="C20" s="3" t="s">
        <v>45</v>
      </c>
      <c r="D20" s="3" t="s">
        <v>17</v>
      </c>
      <c r="E20" s="3" t="s">
        <v>18</v>
      </c>
      <c r="F20" s="3" t="s">
        <v>46</v>
      </c>
      <c r="G20" s="3">
        <v>35</v>
      </c>
      <c r="H20" s="4">
        <v>34.29</v>
      </c>
      <c r="J20" s="32"/>
    </row>
    <row r="21" spans="1:12" x14ac:dyDescent="0.3">
      <c r="A21" s="2">
        <v>44681</v>
      </c>
      <c r="B21" s="3">
        <v>16</v>
      </c>
      <c r="C21" s="3" t="s">
        <v>47</v>
      </c>
      <c r="D21" s="3"/>
      <c r="E21" s="3" t="s">
        <v>23</v>
      </c>
      <c r="F21" s="3" t="s">
        <v>48</v>
      </c>
      <c r="G21" s="3">
        <v>0</v>
      </c>
      <c r="H21" s="3" t="s">
        <v>20</v>
      </c>
      <c r="J21" s="32" t="s">
        <v>368</v>
      </c>
    </row>
    <row r="22" spans="1:12" x14ac:dyDescent="0.3">
      <c r="A22" s="2">
        <v>44712</v>
      </c>
      <c r="B22" s="3">
        <v>17</v>
      </c>
      <c r="C22" s="3" t="s">
        <v>49</v>
      </c>
      <c r="D22" s="3" t="s">
        <v>13</v>
      </c>
      <c r="E22" s="3" t="s">
        <v>10</v>
      </c>
      <c r="F22" s="3" t="s">
        <v>50</v>
      </c>
      <c r="G22" s="3">
        <v>40</v>
      </c>
      <c r="H22" s="4">
        <v>35</v>
      </c>
      <c r="J22" s="32"/>
    </row>
    <row r="23" spans="1:12" x14ac:dyDescent="0.3">
      <c r="A23" s="2">
        <v>44742</v>
      </c>
      <c r="B23" s="3">
        <v>18</v>
      </c>
      <c r="C23" s="3" t="s">
        <v>51</v>
      </c>
      <c r="D23" s="3" t="s">
        <v>9</v>
      </c>
      <c r="E23" s="3" t="s">
        <v>14</v>
      </c>
      <c r="F23" s="3" t="s">
        <v>52</v>
      </c>
      <c r="G23" s="3">
        <v>45</v>
      </c>
      <c r="H23" s="4">
        <v>33.33</v>
      </c>
      <c r="J23" s="32" t="s">
        <v>369</v>
      </c>
    </row>
    <row r="24" spans="1:12" x14ac:dyDescent="0.3">
      <c r="A24" s="2">
        <v>44773</v>
      </c>
      <c r="B24" s="3">
        <v>19</v>
      </c>
      <c r="C24" s="3" t="s">
        <v>53</v>
      </c>
      <c r="D24" s="3" t="s">
        <v>17</v>
      </c>
      <c r="E24" s="3" t="s">
        <v>18</v>
      </c>
      <c r="F24" s="3" t="s">
        <v>54</v>
      </c>
      <c r="G24" s="3">
        <v>50</v>
      </c>
      <c r="H24" s="4">
        <v>32</v>
      </c>
      <c r="J24" s="32"/>
    </row>
    <row r="25" spans="1:12" x14ac:dyDescent="0.3">
      <c r="A25" s="2">
        <v>44804</v>
      </c>
      <c r="B25" s="3">
        <v>20</v>
      </c>
      <c r="C25" s="3" t="s">
        <v>55</v>
      </c>
      <c r="D25" s="3" t="s">
        <v>22</v>
      </c>
      <c r="E25" s="3" t="s">
        <v>23</v>
      </c>
      <c r="F25" s="3" t="s">
        <v>56</v>
      </c>
      <c r="G25" s="3">
        <v>55</v>
      </c>
      <c r="H25" s="4">
        <v>30.91</v>
      </c>
      <c r="J25" s="32" t="s">
        <v>370</v>
      </c>
    </row>
    <row r="26" spans="1:12" x14ac:dyDescent="0.3">
      <c r="A26" s="2">
        <v>44834</v>
      </c>
      <c r="B26" s="3">
        <v>21</v>
      </c>
      <c r="C26" s="3" t="s">
        <v>57</v>
      </c>
      <c r="D26" s="3" t="s">
        <v>13</v>
      </c>
      <c r="E26" s="3" t="s">
        <v>10</v>
      </c>
      <c r="F26" s="3" t="s">
        <v>58</v>
      </c>
      <c r="G26" s="3">
        <v>60</v>
      </c>
      <c r="H26" s="4">
        <v>30</v>
      </c>
    </row>
    <row r="27" spans="1:12" x14ac:dyDescent="0.3">
      <c r="A27" s="2">
        <v>44865</v>
      </c>
      <c r="B27" s="3">
        <v>22</v>
      </c>
      <c r="C27" s="3" t="s">
        <v>59</v>
      </c>
      <c r="D27" s="3" t="s">
        <v>9</v>
      </c>
      <c r="E27" s="3" t="s">
        <v>14</v>
      </c>
      <c r="F27" s="3" t="s">
        <v>60</v>
      </c>
      <c r="G27" s="3">
        <v>0</v>
      </c>
      <c r="H27" s="3" t="s">
        <v>20</v>
      </c>
      <c r="J27" s="33" t="s">
        <v>332</v>
      </c>
    </row>
    <row r="28" spans="1:12" x14ac:dyDescent="0.3">
      <c r="A28" s="2">
        <v>44895</v>
      </c>
      <c r="B28" s="3">
        <v>23</v>
      </c>
      <c r="C28" s="3" t="s">
        <v>61</v>
      </c>
      <c r="D28" s="3" t="s">
        <v>17</v>
      </c>
      <c r="E28" s="3" t="s">
        <v>18</v>
      </c>
      <c r="F28" s="3" t="s">
        <v>62</v>
      </c>
      <c r="G28" s="3">
        <v>65</v>
      </c>
      <c r="H28" s="4">
        <v>30.77</v>
      </c>
    </row>
    <row r="29" spans="1:12" ht="28.8" x14ac:dyDescent="0.3">
      <c r="A29" s="2">
        <v>44926</v>
      </c>
      <c r="B29" s="3">
        <v>24</v>
      </c>
      <c r="C29" s="3" t="s">
        <v>63</v>
      </c>
      <c r="D29" s="3" t="s">
        <v>22</v>
      </c>
      <c r="E29" s="3" t="s">
        <v>23</v>
      </c>
      <c r="F29" s="3" t="s">
        <v>64</v>
      </c>
      <c r="G29" s="3">
        <v>70</v>
      </c>
      <c r="H29" s="4">
        <v>30</v>
      </c>
      <c r="J29" s="38" t="s">
        <v>371</v>
      </c>
      <c r="K29" s="38" t="s">
        <v>372</v>
      </c>
      <c r="L29" s="38" t="s">
        <v>236</v>
      </c>
    </row>
    <row r="30" spans="1:12" x14ac:dyDescent="0.3">
      <c r="A30" s="2">
        <v>44957</v>
      </c>
      <c r="B30" s="3">
        <v>25</v>
      </c>
      <c r="C30" s="3" t="s">
        <v>65</v>
      </c>
      <c r="D30" s="3" t="s">
        <v>66</v>
      </c>
      <c r="E30" s="3" t="s">
        <v>67</v>
      </c>
      <c r="F30" s="3" t="s">
        <v>68</v>
      </c>
      <c r="G30" s="3">
        <v>75</v>
      </c>
      <c r="H30" s="4">
        <v>29.33</v>
      </c>
      <c r="J30" s="39">
        <v>101</v>
      </c>
      <c r="K30" s="39" t="s">
        <v>373</v>
      </c>
      <c r="L30" s="39">
        <v>500</v>
      </c>
    </row>
    <row r="31" spans="1:12" x14ac:dyDescent="0.3">
      <c r="A31" s="2">
        <v>44985</v>
      </c>
      <c r="B31" s="3">
        <v>26</v>
      </c>
      <c r="C31" s="3" t="s">
        <v>69</v>
      </c>
      <c r="D31" s="3" t="s">
        <v>66</v>
      </c>
      <c r="E31" s="3" t="s">
        <v>70</v>
      </c>
      <c r="F31" s="3" t="s">
        <v>71</v>
      </c>
      <c r="G31" s="3">
        <v>80</v>
      </c>
      <c r="H31" s="4">
        <v>28.75</v>
      </c>
      <c r="J31" s="39">
        <v>101</v>
      </c>
      <c r="K31" s="39" t="s">
        <v>373</v>
      </c>
      <c r="L31" s="39">
        <v>500</v>
      </c>
    </row>
    <row r="32" spans="1:12" x14ac:dyDescent="0.3">
      <c r="A32" s="2">
        <v>45016</v>
      </c>
      <c r="B32" s="3">
        <v>27</v>
      </c>
      <c r="C32" s="3" t="s">
        <v>41</v>
      </c>
      <c r="D32" s="3" t="s">
        <v>13</v>
      </c>
      <c r="E32" s="3" t="s">
        <v>72</v>
      </c>
      <c r="F32" s="3" t="s">
        <v>73</v>
      </c>
      <c r="G32" s="3">
        <v>0</v>
      </c>
      <c r="H32" s="3" t="s">
        <v>20</v>
      </c>
    </row>
    <row r="33" spans="1:10" x14ac:dyDescent="0.3">
      <c r="A33" s="2">
        <v>45046</v>
      </c>
      <c r="B33" s="3">
        <v>28</v>
      </c>
      <c r="C33" s="3" t="s">
        <v>39</v>
      </c>
      <c r="D33" s="3" t="s">
        <v>22</v>
      </c>
      <c r="E33" s="3" t="s">
        <v>74</v>
      </c>
      <c r="F33" s="3" t="s">
        <v>75</v>
      </c>
      <c r="G33" s="3">
        <v>85</v>
      </c>
      <c r="H33" s="4">
        <v>29.41</v>
      </c>
      <c r="J33" t="s">
        <v>374</v>
      </c>
    </row>
    <row r="37" spans="1:10" ht="18" x14ac:dyDescent="0.3">
      <c r="J37" s="31" t="s">
        <v>375</v>
      </c>
    </row>
    <row r="39" spans="1:10" x14ac:dyDescent="0.3">
      <c r="J39" s="33" t="s">
        <v>365</v>
      </c>
    </row>
    <row r="40" spans="1:10" x14ac:dyDescent="0.3">
      <c r="J40" t="s">
        <v>376</v>
      </c>
    </row>
    <row r="42" spans="1:10" x14ac:dyDescent="0.3">
      <c r="J42" s="33" t="s">
        <v>367</v>
      </c>
    </row>
    <row r="43" spans="1:10" x14ac:dyDescent="0.3">
      <c r="J43" s="32"/>
    </row>
    <row r="44" spans="1:10" x14ac:dyDescent="0.3">
      <c r="J44" s="32" t="s">
        <v>377</v>
      </c>
    </row>
    <row r="45" spans="1:10" x14ac:dyDescent="0.3">
      <c r="J45" s="32"/>
    </row>
    <row r="46" spans="1:10" x14ac:dyDescent="0.3">
      <c r="J46" s="32" t="s">
        <v>378</v>
      </c>
    </row>
    <row r="48" spans="1:10" x14ac:dyDescent="0.3">
      <c r="J48" s="33" t="s">
        <v>332</v>
      </c>
    </row>
    <row r="50" spans="10:12" ht="28.8" x14ac:dyDescent="0.3">
      <c r="J50" s="38" t="s">
        <v>379</v>
      </c>
      <c r="K50" s="38" t="s">
        <v>2</v>
      </c>
      <c r="L50" s="38" t="s">
        <v>380</v>
      </c>
    </row>
    <row r="51" spans="10:12" x14ac:dyDescent="0.3">
      <c r="J51" s="39" t="s">
        <v>381</v>
      </c>
      <c r="K51" s="39" t="s">
        <v>382</v>
      </c>
      <c r="L51" s="39">
        <v>85</v>
      </c>
    </row>
    <row r="52" spans="10:12" x14ac:dyDescent="0.3">
      <c r="J52" s="39" t="s">
        <v>381</v>
      </c>
      <c r="K52" s="39" t="s">
        <v>383</v>
      </c>
      <c r="L52" s="39">
        <v>78</v>
      </c>
    </row>
    <row r="54" spans="10:12" ht="15" x14ac:dyDescent="0.35">
      <c r="J54" t="s">
        <v>384</v>
      </c>
    </row>
    <row r="58" spans="10:12" ht="18" x14ac:dyDescent="0.3">
      <c r="J58" s="31" t="s">
        <v>385</v>
      </c>
    </row>
    <row r="59" spans="10:12" x14ac:dyDescent="0.3">
      <c r="J59" s="32"/>
    </row>
    <row r="60" spans="10:12" x14ac:dyDescent="0.3">
      <c r="J60" s="61" t="s">
        <v>386</v>
      </c>
    </row>
    <row r="61" spans="10:12" x14ac:dyDescent="0.3">
      <c r="J61" s="32"/>
    </row>
    <row r="62" spans="10:12" x14ac:dyDescent="0.3">
      <c r="J62" s="61" t="s">
        <v>387</v>
      </c>
    </row>
  </sheetData>
  <conditionalFormatting sqref="B2:B33">
    <cfRule type="duplicateValues" dxfId="8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30" workbookViewId="0">
      <selection activeCell="M39" sqref="M39"/>
    </sheetView>
  </sheetViews>
  <sheetFormatPr defaultRowHeight="14.4" x14ac:dyDescent="0.3"/>
  <cols>
    <col min="9" max="9" width="16.5546875" bestFit="1" customWidth="1"/>
  </cols>
  <sheetData>
    <row r="1" spans="1:11" ht="39.6" x14ac:dyDescent="0.3">
      <c r="A1" s="5" t="s">
        <v>77</v>
      </c>
      <c r="B1" s="5"/>
      <c r="C1" s="5"/>
      <c r="D1" s="5"/>
      <c r="E1" s="5"/>
      <c r="F1" s="5"/>
      <c r="G1" s="5"/>
      <c r="H1" s="5"/>
      <c r="I1" s="5"/>
      <c r="K1" s="31" t="s">
        <v>100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78</v>
      </c>
      <c r="K2" s="32"/>
    </row>
    <row r="3" spans="1:11" x14ac:dyDescent="0.3">
      <c r="A3" s="2">
        <v>44227</v>
      </c>
      <c r="B3" s="3">
        <v>1</v>
      </c>
      <c r="C3" s="3" t="s">
        <v>8</v>
      </c>
      <c r="D3" s="3" t="s">
        <v>9</v>
      </c>
      <c r="E3" s="3" t="s">
        <v>10</v>
      </c>
      <c r="F3" s="3" t="s">
        <v>11</v>
      </c>
      <c r="G3" s="3">
        <v>10</v>
      </c>
      <c r="H3" s="4">
        <v>20</v>
      </c>
      <c r="I3" t="str">
        <f>TRIM(C3)</f>
        <v>John Smith</v>
      </c>
      <c r="K3" s="32" t="s">
        <v>101</v>
      </c>
    </row>
    <row r="4" spans="1:11" x14ac:dyDescent="0.3">
      <c r="A4" s="2">
        <v>44255</v>
      </c>
      <c r="B4" s="3">
        <v>2</v>
      </c>
      <c r="C4" s="3" t="s">
        <v>12</v>
      </c>
      <c r="D4" s="3" t="s">
        <v>13</v>
      </c>
      <c r="E4" s="3" t="s">
        <v>14</v>
      </c>
      <c r="F4" s="3" t="s">
        <v>15</v>
      </c>
      <c r="G4" s="3">
        <v>15</v>
      </c>
      <c r="H4" s="4">
        <v>10</v>
      </c>
      <c r="I4" t="str">
        <f t="shared" ref="I4:I30" si="0">TRIM(C4)</f>
        <v>Jane Doe</v>
      </c>
      <c r="K4" s="32"/>
    </row>
    <row r="5" spans="1:11" x14ac:dyDescent="0.3">
      <c r="A5" s="2">
        <v>44286</v>
      </c>
      <c r="B5" s="3">
        <v>3</v>
      </c>
      <c r="C5" s="3" t="s">
        <v>16</v>
      </c>
      <c r="D5" s="3" t="s">
        <v>17</v>
      </c>
      <c r="E5" s="3" t="s">
        <v>18</v>
      </c>
      <c r="F5" s="3" t="s">
        <v>19</v>
      </c>
      <c r="G5" s="3">
        <v>0</v>
      </c>
      <c r="H5" s="3" t="s">
        <v>20</v>
      </c>
      <c r="I5" t="str">
        <f t="shared" si="0"/>
        <v>Mike Tyson</v>
      </c>
      <c r="K5" s="32" t="s">
        <v>102</v>
      </c>
    </row>
    <row r="6" spans="1:11" x14ac:dyDescent="0.3">
      <c r="A6" s="2">
        <v>44316</v>
      </c>
      <c r="B6" s="3">
        <v>4</v>
      </c>
      <c r="C6" s="3" t="s">
        <v>21</v>
      </c>
      <c r="D6" s="3" t="s">
        <v>22</v>
      </c>
      <c r="E6" s="3" t="s">
        <v>23</v>
      </c>
      <c r="F6" s="3" t="s">
        <v>24</v>
      </c>
      <c r="G6" s="3">
        <v>25</v>
      </c>
      <c r="H6" s="4">
        <v>10</v>
      </c>
      <c r="I6" t="str">
        <f t="shared" si="0"/>
        <v>Anna Belle</v>
      </c>
      <c r="K6" s="32"/>
    </row>
    <row r="7" spans="1:11" x14ac:dyDescent="0.3">
      <c r="A7" s="2">
        <v>44347</v>
      </c>
      <c r="B7" s="3">
        <v>5</v>
      </c>
      <c r="C7" s="3" t="s">
        <v>25</v>
      </c>
      <c r="D7" s="3" t="s">
        <v>13</v>
      </c>
      <c r="E7" s="3" t="s">
        <v>10</v>
      </c>
      <c r="F7" s="3" t="s">
        <v>26</v>
      </c>
      <c r="G7" s="3">
        <v>30</v>
      </c>
      <c r="H7" s="4">
        <v>16.670000000000002</v>
      </c>
      <c r="I7" t="str">
        <f t="shared" si="0"/>
        <v>Chris P. Bacon</v>
      </c>
      <c r="K7" s="32" t="s">
        <v>103</v>
      </c>
    </row>
    <row r="8" spans="1:11" x14ac:dyDescent="0.3">
      <c r="A8" s="2">
        <v>44377</v>
      </c>
      <c r="B8" s="3">
        <v>6</v>
      </c>
      <c r="C8" s="3" t="s">
        <v>27</v>
      </c>
      <c r="D8" s="3"/>
      <c r="E8" s="3" t="s">
        <v>14</v>
      </c>
      <c r="F8" s="3" t="s">
        <v>28</v>
      </c>
      <c r="G8" s="3">
        <v>0</v>
      </c>
      <c r="H8" s="3" t="s">
        <v>20</v>
      </c>
      <c r="I8" t="str">
        <f t="shared" si="0"/>
        <v>Peter Parker</v>
      </c>
    </row>
    <row r="9" spans="1:11" x14ac:dyDescent="0.3">
      <c r="A9" s="2">
        <v>44408</v>
      </c>
      <c r="B9" s="3">
        <v>7</v>
      </c>
      <c r="C9" s="3" t="s">
        <v>29</v>
      </c>
      <c r="D9" s="3" t="s">
        <v>17</v>
      </c>
      <c r="E9" s="3" t="s">
        <v>18</v>
      </c>
      <c r="F9" s="3" t="s">
        <v>30</v>
      </c>
      <c r="G9" s="3">
        <v>35</v>
      </c>
      <c r="H9" s="4">
        <v>10</v>
      </c>
      <c r="I9" t="str">
        <f t="shared" si="0"/>
        <v>Mary Jane</v>
      </c>
    </row>
    <row r="10" spans="1:11" x14ac:dyDescent="0.3">
      <c r="A10" s="2">
        <v>44439</v>
      </c>
      <c r="B10" s="3">
        <v>8</v>
      </c>
      <c r="C10" s="3" t="s">
        <v>31</v>
      </c>
      <c r="D10" s="3" t="s">
        <v>22</v>
      </c>
      <c r="E10" s="3" t="s">
        <v>23</v>
      </c>
      <c r="F10" s="3" t="s">
        <v>32</v>
      </c>
      <c r="G10" s="3">
        <v>40</v>
      </c>
      <c r="H10" s="4">
        <v>15</v>
      </c>
      <c r="I10" t="str">
        <f t="shared" si="0"/>
        <v>Bruce Wayne</v>
      </c>
    </row>
    <row r="11" spans="1:11" x14ac:dyDescent="0.3">
      <c r="A11" s="2">
        <v>44469</v>
      </c>
      <c r="B11" s="3">
        <v>9</v>
      </c>
      <c r="C11" s="3" t="s">
        <v>33</v>
      </c>
      <c r="D11" s="3" t="s">
        <v>13</v>
      </c>
      <c r="E11" s="3" t="s">
        <v>10</v>
      </c>
      <c r="F11" s="3" t="s">
        <v>34</v>
      </c>
      <c r="G11" s="3">
        <v>45</v>
      </c>
      <c r="H11" s="4">
        <v>12.22</v>
      </c>
      <c r="I11" t="str">
        <f t="shared" si="0"/>
        <v>Clark Kent</v>
      </c>
    </row>
    <row r="12" spans="1:11" x14ac:dyDescent="0.3">
      <c r="A12" s="2">
        <v>44500</v>
      </c>
      <c r="B12" s="3">
        <v>10</v>
      </c>
      <c r="C12" s="3" t="s">
        <v>35</v>
      </c>
      <c r="D12" s="3" t="s">
        <v>9</v>
      </c>
      <c r="E12" s="3" t="s">
        <v>14</v>
      </c>
      <c r="F12" s="3" t="s">
        <v>36</v>
      </c>
      <c r="G12" s="3">
        <v>50</v>
      </c>
      <c r="H12" s="4">
        <v>14</v>
      </c>
      <c r="I12" t="str">
        <f t="shared" si="0"/>
        <v>Diana Prince</v>
      </c>
    </row>
    <row r="13" spans="1:11" x14ac:dyDescent="0.3">
      <c r="A13" s="2">
        <v>44530</v>
      </c>
      <c r="B13" s="3">
        <v>11</v>
      </c>
      <c r="C13" s="3" t="s">
        <v>37</v>
      </c>
      <c r="D13" s="3" t="s">
        <v>17</v>
      </c>
      <c r="E13" s="3" t="s">
        <v>18</v>
      </c>
      <c r="F13" s="3" t="s">
        <v>38</v>
      </c>
      <c r="G13" s="3">
        <v>5</v>
      </c>
      <c r="H13" s="4">
        <v>160</v>
      </c>
      <c r="I13" t="str">
        <f t="shared" si="0"/>
        <v>Tony Stark</v>
      </c>
    </row>
    <row r="14" spans="1:11" x14ac:dyDescent="0.3">
      <c r="A14" s="2">
        <v>44561</v>
      </c>
      <c r="B14" s="3">
        <v>12</v>
      </c>
      <c r="C14" s="3" t="s">
        <v>39</v>
      </c>
      <c r="D14" s="3" t="s">
        <v>22</v>
      </c>
      <c r="E14" s="3" t="s">
        <v>23</v>
      </c>
      <c r="F14" s="3" t="s">
        <v>40</v>
      </c>
      <c r="G14" s="3">
        <v>20</v>
      </c>
      <c r="H14" s="4">
        <v>45</v>
      </c>
      <c r="I14" t="str">
        <f t="shared" si="0"/>
        <v>Steve Rogers</v>
      </c>
    </row>
    <row r="15" spans="1:11" x14ac:dyDescent="0.3">
      <c r="A15" s="2">
        <v>44592</v>
      </c>
      <c r="B15" s="3">
        <v>13</v>
      </c>
      <c r="C15" s="3" t="s">
        <v>41</v>
      </c>
      <c r="D15" s="3" t="s">
        <v>13</v>
      </c>
      <c r="E15" s="3" t="s">
        <v>10</v>
      </c>
      <c r="F15" s="3" t="s">
        <v>42</v>
      </c>
      <c r="G15" s="3">
        <v>0</v>
      </c>
      <c r="H15" s="3" t="s">
        <v>20</v>
      </c>
      <c r="I15" t="str">
        <f t="shared" si="0"/>
        <v>Natasha Romanoff</v>
      </c>
    </row>
    <row r="16" spans="1:11" x14ac:dyDescent="0.3">
      <c r="A16" s="2">
        <v>44620</v>
      </c>
      <c r="B16" s="3">
        <v>14</v>
      </c>
      <c r="C16" s="3" t="s">
        <v>43</v>
      </c>
      <c r="D16" s="3"/>
      <c r="E16" s="3" t="s">
        <v>14</v>
      </c>
      <c r="F16" s="3" t="s">
        <v>44</v>
      </c>
      <c r="G16" s="3">
        <v>30</v>
      </c>
      <c r="H16" s="4">
        <v>36.67</v>
      </c>
      <c r="I16" t="str">
        <f t="shared" si="0"/>
        <v>Bruce Banner</v>
      </c>
    </row>
    <row r="17" spans="1:9" x14ac:dyDescent="0.3">
      <c r="A17" s="2">
        <v>44651</v>
      </c>
      <c r="B17" s="3">
        <v>15</v>
      </c>
      <c r="C17" s="3" t="s">
        <v>45</v>
      </c>
      <c r="D17" s="3" t="s">
        <v>17</v>
      </c>
      <c r="E17" s="3" t="s">
        <v>18</v>
      </c>
      <c r="F17" s="3" t="s">
        <v>46</v>
      </c>
      <c r="G17" s="3">
        <v>35</v>
      </c>
      <c r="H17" s="4">
        <v>34.29</v>
      </c>
      <c r="I17" t="str">
        <f t="shared" si="0"/>
        <v>Nick Fury</v>
      </c>
    </row>
    <row r="18" spans="1:9" x14ac:dyDescent="0.3">
      <c r="A18" s="2">
        <v>44681</v>
      </c>
      <c r="B18" s="3">
        <v>16</v>
      </c>
      <c r="C18" s="3" t="s">
        <v>47</v>
      </c>
      <c r="D18" s="3"/>
      <c r="E18" s="3" t="s">
        <v>23</v>
      </c>
      <c r="F18" s="3" t="s">
        <v>48</v>
      </c>
      <c r="G18" s="3">
        <v>0</v>
      </c>
      <c r="H18" s="3" t="s">
        <v>20</v>
      </c>
      <c r="I18" t="str">
        <f t="shared" si="0"/>
        <v>Phil Coulson</v>
      </c>
    </row>
    <row r="19" spans="1:9" x14ac:dyDescent="0.3">
      <c r="A19" s="2">
        <v>44712</v>
      </c>
      <c r="B19" s="3">
        <v>17</v>
      </c>
      <c r="C19" s="3" t="s">
        <v>49</v>
      </c>
      <c r="D19" s="3" t="s">
        <v>13</v>
      </c>
      <c r="E19" s="3" t="s">
        <v>10</v>
      </c>
      <c r="F19" s="3" t="s">
        <v>50</v>
      </c>
      <c r="G19" s="3">
        <v>40</v>
      </c>
      <c r="H19" s="4">
        <v>35</v>
      </c>
      <c r="I19" t="str">
        <f t="shared" si="0"/>
        <v>Peggy Carter</v>
      </c>
    </row>
    <row r="20" spans="1:9" x14ac:dyDescent="0.3">
      <c r="A20" s="2">
        <v>44742</v>
      </c>
      <c r="B20" s="3">
        <v>18</v>
      </c>
      <c r="C20" s="3" t="s">
        <v>51</v>
      </c>
      <c r="D20" s="3" t="s">
        <v>9</v>
      </c>
      <c r="E20" s="3" t="s">
        <v>14</v>
      </c>
      <c r="F20" s="3" t="s">
        <v>52</v>
      </c>
      <c r="G20" s="3">
        <v>45</v>
      </c>
      <c r="H20" s="4">
        <v>33.33</v>
      </c>
      <c r="I20" t="str">
        <f t="shared" si="0"/>
        <v>Howard Stark</v>
      </c>
    </row>
    <row r="21" spans="1:9" x14ac:dyDescent="0.3">
      <c r="A21" s="2">
        <v>44773</v>
      </c>
      <c r="B21" s="3">
        <v>19</v>
      </c>
      <c r="C21" s="3" t="s">
        <v>53</v>
      </c>
      <c r="D21" s="3" t="s">
        <v>17</v>
      </c>
      <c r="E21" s="3" t="s">
        <v>18</v>
      </c>
      <c r="F21" s="3" t="s">
        <v>54</v>
      </c>
      <c r="G21" s="3">
        <v>50</v>
      </c>
      <c r="H21" s="4">
        <v>32</v>
      </c>
      <c r="I21" t="str">
        <f t="shared" si="0"/>
        <v>Hank Pym</v>
      </c>
    </row>
    <row r="22" spans="1:9" x14ac:dyDescent="0.3">
      <c r="A22" s="2">
        <v>44804</v>
      </c>
      <c r="B22" s="3">
        <v>20</v>
      </c>
      <c r="C22" s="3" t="s">
        <v>55</v>
      </c>
      <c r="D22" s="3" t="s">
        <v>22</v>
      </c>
      <c r="E22" s="3" t="s">
        <v>23</v>
      </c>
      <c r="F22" s="3" t="s">
        <v>56</v>
      </c>
      <c r="G22" s="3">
        <v>55</v>
      </c>
      <c r="H22" s="4">
        <v>30.91</v>
      </c>
      <c r="I22" t="str">
        <f t="shared" si="0"/>
        <v>Janet van Dyne</v>
      </c>
    </row>
    <row r="23" spans="1:9" x14ac:dyDescent="0.3">
      <c r="A23" s="2">
        <v>44834</v>
      </c>
      <c r="B23" s="3">
        <v>21</v>
      </c>
      <c r="C23" s="3" t="s">
        <v>57</v>
      </c>
      <c r="D23" s="3" t="s">
        <v>13</v>
      </c>
      <c r="E23" s="3" t="s">
        <v>10</v>
      </c>
      <c r="F23" s="3" t="s">
        <v>58</v>
      </c>
      <c r="G23" s="3">
        <v>60</v>
      </c>
      <c r="H23" s="4">
        <v>30</v>
      </c>
      <c r="I23" t="str">
        <f t="shared" si="0"/>
        <v>Kurt Busiek</v>
      </c>
    </row>
    <row r="24" spans="1:9" x14ac:dyDescent="0.3">
      <c r="A24" s="2">
        <v>44865</v>
      </c>
      <c r="B24" s="3">
        <v>22</v>
      </c>
      <c r="C24" s="3" t="s">
        <v>59</v>
      </c>
      <c r="D24" s="3" t="s">
        <v>9</v>
      </c>
      <c r="E24" s="3" t="s">
        <v>14</v>
      </c>
      <c r="F24" s="3" t="s">
        <v>60</v>
      </c>
      <c r="G24" s="3">
        <v>0</v>
      </c>
      <c r="H24" s="3" t="s">
        <v>20</v>
      </c>
      <c r="I24" t="str">
        <f t="shared" si="0"/>
        <v>George Perez</v>
      </c>
    </row>
    <row r="25" spans="1:9" x14ac:dyDescent="0.3">
      <c r="A25" s="2">
        <v>44895</v>
      </c>
      <c r="B25" s="3">
        <v>23</v>
      </c>
      <c r="C25" s="3" t="s">
        <v>61</v>
      </c>
      <c r="D25" s="3" t="s">
        <v>17</v>
      </c>
      <c r="E25" s="3" t="s">
        <v>18</v>
      </c>
      <c r="F25" s="3" t="s">
        <v>62</v>
      </c>
      <c r="G25" s="3">
        <v>65</v>
      </c>
      <c r="H25" s="4">
        <v>30.77</v>
      </c>
      <c r="I25" t="str">
        <f t="shared" si="0"/>
        <v>Roger Stern</v>
      </c>
    </row>
    <row r="26" spans="1:9" x14ac:dyDescent="0.3">
      <c r="A26" s="2">
        <v>44926</v>
      </c>
      <c r="B26" s="3">
        <v>24</v>
      </c>
      <c r="C26" s="3" t="s">
        <v>63</v>
      </c>
      <c r="D26" s="3" t="s">
        <v>22</v>
      </c>
      <c r="E26" s="3" t="s">
        <v>23</v>
      </c>
      <c r="F26" s="3" t="s">
        <v>64</v>
      </c>
      <c r="G26" s="3">
        <v>70</v>
      </c>
      <c r="H26" s="4">
        <v>30</v>
      </c>
      <c r="I26" t="str">
        <f t="shared" si="0"/>
        <v>Tom DeFalco</v>
      </c>
    </row>
    <row r="27" spans="1:9" x14ac:dyDescent="0.3">
      <c r="A27" s="2">
        <v>44957</v>
      </c>
      <c r="B27" s="3">
        <v>25</v>
      </c>
      <c r="C27" s="3" t="s">
        <v>65</v>
      </c>
      <c r="D27" s="3" t="s">
        <v>66</v>
      </c>
      <c r="E27" s="3" t="s">
        <v>67</v>
      </c>
      <c r="F27" s="3" t="s">
        <v>68</v>
      </c>
      <c r="G27" s="3">
        <v>75</v>
      </c>
      <c r="H27" s="4">
        <v>29.33</v>
      </c>
      <c r="I27" t="str">
        <f t="shared" si="0"/>
        <v>Loki Laufeyson</v>
      </c>
    </row>
    <row r="28" spans="1:9" x14ac:dyDescent="0.3">
      <c r="A28" s="2">
        <v>44985</v>
      </c>
      <c r="B28" s="3">
        <v>26</v>
      </c>
      <c r="C28" s="3" t="s">
        <v>69</v>
      </c>
      <c r="D28" s="3" t="s">
        <v>66</v>
      </c>
      <c r="E28" s="3" t="s">
        <v>70</v>
      </c>
      <c r="F28" s="3" t="s">
        <v>71</v>
      </c>
      <c r="G28" s="3">
        <v>80</v>
      </c>
      <c r="H28" s="4">
        <v>28.75</v>
      </c>
      <c r="I28" t="str">
        <f t="shared" si="0"/>
        <v>Thor Odinson</v>
      </c>
    </row>
    <row r="29" spans="1:9" x14ac:dyDescent="0.3">
      <c r="A29" s="2">
        <v>45016</v>
      </c>
      <c r="B29" s="3">
        <v>27</v>
      </c>
      <c r="C29" s="3" t="s">
        <v>41</v>
      </c>
      <c r="D29" s="3" t="s">
        <v>13</v>
      </c>
      <c r="E29" s="3" t="s">
        <v>72</v>
      </c>
      <c r="F29" s="3" t="s">
        <v>73</v>
      </c>
      <c r="G29" s="3">
        <v>0</v>
      </c>
      <c r="H29" s="3" t="s">
        <v>20</v>
      </c>
      <c r="I29" t="str">
        <f t="shared" si="0"/>
        <v>Natasha Romanoff</v>
      </c>
    </row>
    <row r="30" spans="1:9" x14ac:dyDescent="0.3">
      <c r="A30" s="2">
        <v>45046</v>
      </c>
      <c r="B30" s="3">
        <v>28</v>
      </c>
      <c r="C30" s="3" t="s">
        <v>39</v>
      </c>
      <c r="D30" s="3" t="s">
        <v>22</v>
      </c>
      <c r="E30" s="3" t="s">
        <v>74</v>
      </c>
      <c r="F30" s="3" t="s">
        <v>75</v>
      </c>
      <c r="G30" s="3">
        <v>85</v>
      </c>
      <c r="H30" s="4">
        <v>29.41</v>
      </c>
      <c r="I30" t="str">
        <f t="shared" si="0"/>
        <v>Steve Rogers</v>
      </c>
    </row>
  </sheetData>
  <conditionalFormatting sqref="B2:B30">
    <cfRule type="duplicateValues" dxfId="8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J15" sqref="J15"/>
    </sheetView>
  </sheetViews>
  <sheetFormatPr defaultRowHeight="14.4" x14ac:dyDescent="0.3"/>
  <sheetData>
    <row r="1" spans="1:10" ht="39.6" x14ac:dyDescent="0.3">
      <c r="A1" s="5" t="s">
        <v>79</v>
      </c>
      <c r="B1" s="5"/>
      <c r="C1" s="5"/>
      <c r="D1" s="5"/>
      <c r="E1" s="5"/>
      <c r="F1" s="5"/>
      <c r="G1" s="5"/>
      <c r="H1" s="5"/>
      <c r="J1" s="31" t="s">
        <v>104</v>
      </c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32"/>
    </row>
    <row r="3" spans="1:10" x14ac:dyDescent="0.3">
      <c r="A3" s="2">
        <v>44227</v>
      </c>
      <c r="B3" s="3">
        <v>1</v>
      </c>
      <c r="C3" s="3" t="s">
        <v>80</v>
      </c>
      <c r="D3" s="3" t="s">
        <v>9</v>
      </c>
      <c r="E3" s="3" t="s">
        <v>10</v>
      </c>
      <c r="F3" s="3" t="s">
        <v>11</v>
      </c>
      <c r="G3" s="3">
        <v>10</v>
      </c>
      <c r="H3" s="4">
        <v>20</v>
      </c>
      <c r="J3" s="32" t="s">
        <v>105</v>
      </c>
    </row>
    <row r="4" spans="1:10" x14ac:dyDescent="0.3">
      <c r="A4" s="2">
        <v>44255</v>
      </c>
      <c r="B4" s="3">
        <v>2</v>
      </c>
      <c r="C4" s="3" t="s">
        <v>12</v>
      </c>
      <c r="D4" s="3" t="s">
        <v>13</v>
      </c>
      <c r="E4" s="3" t="s">
        <v>14</v>
      </c>
      <c r="F4" s="3" t="s">
        <v>15</v>
      </c>
      <c r="G4" s="3">
        <v>15</v>
      </c>
      <c r="H4" s="4">
        <v>10</v>
      </c>
      <c r="J4" s="32"/>
    </row>
    <row r="5" spans="1:10" x14ac:dyDescent="0.3">
      <c r="A5" s="2">
        <v>44286</v>
      </c>
      <c r="B5" s="3">
        <v>3</v>
      </c>
      <c r="C5" s="3" t="s">
        <v>81</v>
      </c>
      <c r="D5" s="3" t="s">
        <v>17</v>
      </c>
      <c r="E5" s="3" t="s">
        <v>18</v>
      </c>
      <c r="F5" s="3" t="s">
        <v>19</v>
      </c>
      <c r="G5" s="3">
        <v>0</v>
      </c>
      <c r="H5" s="3" t="s">
        <v>20</v>
      </c>
      <c r="J5" s="32" t="s">
        <v>106</v>
      </c>
    </row>
    <row r="6" spans="1:10" x14ac:dyDescent="0.3">
      <c r="A6" s="2">
        <v>44316</v>
      </c>
      <c r="B6" s="3">
        <v>4</v>
      </c>
      <c r="C6" s="3" t="s">
        <v>82</v>
      </c>
      <c r="D6" s="3" t="s">
        <v>22</v>
      </c>
      <c r="E6" s="3" t="s">
        <v>23</v>
      </c>
      <c r="F6" s="3" t="s">
        <v>24</v>
      </c>
      <c r="G6" s="3">
        <v>25</v>
      </c>
      <c r="H6" s="4">
        <v>10</v>
      </c>
    </row>
    <row r="7" spans="1:10" x14ac:dyDescent="0.3">
      <c r="A7" s="2">
        <v>44347</v>
      </c>
      <c r="B7" s="3">
        <v>5</v>
      </c>
      <c r="C7" s="3" t="s">
        <v>25</v>
      </c>
      <c r="D7" s="3" t="s">
        <v>13</v>
      </c>
      <c r="E7" s="3" t="s">
        <v>10</v>
      </c>
      <c r="F7" s="3" t="s">
        <v>26</v>
      </c>
      <c r="G7" s="3">
        <v>30</v>
      </c>
      <c r="H7" s="4">
        <v>16.670000000000002</v>
      </c>
    </row>
    <row r="8" spans="1:10" x14ac:dyDescent="0.3">
      <c r="A8" s="2">
        <v>44377</v>
      </c>
      <c r="B8" s="3">
        <v>6</v>
      </c>
      <c r="C8" s="3" t="s">
        <v>83</v>
      </c>
      <c r="D8" s="6"/>
      <c r="E8" s="3" t="s">
        <v>14</v>
      </c>
      <c r="F8" s="3" t="s">
        <v>28</v>
      </c>
      <c r="G8" s="3">
        <v>0</v>
      </c>
      <c r="H8" s="3" t="s">
        <v>20</v>
      </c>
    </row>
    <row r="9" spans="1:10" x14ac:dyDescent="0.3">
      <c r="A9" s="2">
        <v>44408</v>
      </c>
      <c r="B9" s="3">
        <v>7</v>
      </c>
      <c r="C9" s="3" t="s">
        <v>29</v>
      </c>
      <c r="D9" s="3" t="s">
        <v>17</v>
      </c>
      <c r="E9" s="3" t="s">
        <v>18</v>
      </c>
      <c r="F9" s="3" t="s">
        <v>30</v>
      </c>
      <c r="G9" s="3">
        <v>35</v>
      </c>
      <c r="H9" s="4">
        <v>10</v>
      </c>
    </row>
    <row r="10" spans="1:10" x14ac:dyDescent="0.3">
      <c r="A10" s="2">
        <v>44439</v>
      </c>
      <c r="B10" s="3">
        <v>8</v>
      </c>
      <c r="C10" s="3" t="s">
        <v>31</v>
      </c>
      <c r="D10" s="3" t="s">
        <v>22</v>
      </c>
      <c r="E10" s="3" t="s">
        <v>23</v>
      </c>
      <c r="F10" s="3" t="s">
        <v>32</v>
      </c>
      <c r="G10" s="3">
        <v>40</v>
      </c>
      <c r="H10" s="4">
        <v>15</v>
      </c>
    </row>
    <row r="11" spans="1:10" x14ac:dyDescent="0.3">
      <c r="A11" s="2">
        <v>44469</v>
      </c>
      <c r="B11" s="3">
        <v>9</v>
      </c>
      <c r="C11" s="3" t="s">
        <v>33</v>
      </c>
      <c r="D11" s="3" t="s">
        <v>13</v>
      </c>
      <c r="E11" s="3" t="s">
        <v>10</v>
      </c>
      <c r="F11" s="3" t="s">
        <v>34</v>
      </c>
      <c r="G11" s="3">
        <v>45</v>
      </c>
      <c r="H11" s="4">
        <v>12.22</v>
      </c>
    </row>
    <row r="12" spans="1:10" x14ac:dyDescent="0.3">
      <c r="A12" s="2">
        <v>44500</v>
      </c>
      <c r="B12" s="3">
        <v>10</v>
      </c>
      <c r="C12" s="3" t="s">
        <v>35</v>
      </c>
      <c r="D12" s="3" t="s">
        <v>9</v>
      </c>
      <c r="E12" s="3" t="s">
        <v>14</v>
      </c>
      <c r="F12" s="3" t="s">
        <v>36</v>
      </c>
      <c r="G12" s="3">
        <v>50</v>
      </c>
      <c r="H12" s="4">
        <v>14</v>
      </c>
    </row>
    <row r="13" spans="1:10" x14ac:dyDescent="0.3">
      <c r="A13" s="2">
        <v>44530</v>
      </c>
      <c r="B13" s="3">
        <v>11</v>
      </c>
      <c r="C13" s="3" t="s">
        <v>37</v>
      </c>
      <c r="D13" s="3" t="s">
        <v>17</v>
      </c>
      <c r="E13" s="3" t="s">
        <v>18</v>
      </c>
      <c r="F13" s="3" t="s">
        <v>38</v>
      </c>
      <c r="G13" s="3">
        <v>5</v>
      </c>
      <c r="H13" s="4">
        <v>160</v>
      </c>
    </row>
    <row r="14" spans="1:10" x14ac:dyDescent="0.3">
      <c r="A14" s="2">
        <v>44561</v>
      </c>
      <c r="B14" s="3">
        <v>12</v>
      </c>
      <c r="C14" s="3" t="s">
        <v>39</v>
      </c>
      <c r="D14" s="3" t="s">
        <v>22</v>
      </c>
      <c r="E14" s="3" t="s">
        <v>23</v>
      </c>
      <c r="F14" s="3" t="s">
        <v>40</v>
      </c>
      <c r="G14" s="3">
        <v>20</v>
      </c>
      <c r="H14" s="4">
        <v>45</v>
      </c>
    </row>
    <row r="15" spans="1:10" x14ac:dyDescent="0.3">
      <c r="A15" s="2">
        <v>44592</v>
      </c>
      <c r="B15" s="3">
        <v>13</v>
      </c>
      <c r="C15" s="3" t="s">
        <v>41</v>
      </c>
      <c r="D15" s="3" t="s">
        <v>13</v>
      </c>
      <c r="E15" s="3" t="s">
        <v>10</v>
      </c>
      <c r="F15" s="3" t="s">
        <v>42</v>
      </c>
      <c r="G15" s="3">
        <v>0</v>
      </c>
      <c r="H15" s="3" t="s">
        <v>20</v>
      </c>
    </row>
    <row r="16" spans="1:10" x14ac:dyDescent="0.3">
      <c r="A16" s="2">
        <v>44620</v>
      </c>
      <c r="B16" s="3">
        <v>14</v>
      </c>
      <c r="C16" s="3" t="s">
        <v>43</v>
      </c>
      <c r="D16" s="6"/>
      <c r="E16" s="3" t="s">
        <v>14</v>
      </c>
      <c r="F16" s="3" t="s">
        <v>44</v>
      </c>
      <c r="G16" s="3">
        <v>30</v>
      </c>
      <c r="H16" s="4">
        <v>36.67</v>
      </c>
    </row>
    <row r="17" spans="1:8" x14ac:dyDescent="0.3">
      <c r="A17" s="2">
        <v>44651</v>
      </c>
      <c r="B17" s="3">
        <v>15</v>
      </c>
      <c r="C17" s="3" t="s">
        <v>45</v>
      </c>
      <c r="D17" s="3" t="s">
        <v>17</v>
      </c>
      <c r="E17" s="3" t="s">
        <v>18</v>
      </c>
      <c r="F17" s="3" t="s">
        <v>46</v>
      </c>
      <c r="G17" s="3">
        <v>35</v>
      </c>
      <c r="H17" s="4">
        <v>34.29</v>
      </c>
    </row>
    <row r="18" spans="1:8" x14ac:dyDescent="0.3">
      <c r="A18" s="2">
        <v>44681</v>
      </c>
      <c r="B18" s="3">
        <v>16</v>
      </c>
      <c r="C18" s="3" t="s">
        <v>47</v>
      </c>
      <c r="D18" s="6"/>
      <c r="E18" s="3" t="s">
        <v>23</v>
      </c>
      <c r="F18" s="3" t="s">
        <v>48</v>
      </c>
      <c r="G18" s="3">
        <v>0</v>
      </c>
      <c r="H18" s="3" t="s">
        <v>20</v>
      </c>
    </row>
    <row r="19" spans="1:8" x14ac:dyDescent="0.3">
      <c r="A19" s="2">
        <v>44712</v>
      </c>
      <c r="B19" s="3">
        <v>17</v>
      </c>
      <c r="C19" s="3" t="s">
        <v>49</v>
      </c>
      <c r="D19" s="3" t="s">
        <v>13</v>
      </c>
      <c r="E19" s="3" t="s">
        <v>10</v>
      </c>
      <c r="F19" s="3" t="s">
        <v>50</v>
      </c>
      <c r="G19" s="3">
        <v>40</v>
      </c>
      <c r="H19" s="4">
        <v>35</v>
      </c>
    </row>
    <row r="20" spans="1:8" x14ac:dyDescent="0.3">
      <c r="A20" s="2">
        <v>44742</v>
      </c>
      <c r="B20" s="3">
        <v>18</v>
      </c>
      <c r="C20" s="3" t="s">
        <v>51</v>
      </c>
      <c r="D20" s="3" t="s">
        <v>9</v>
      </c>
      <c r="E20" s="3" t="s">
        <v>14</v>
      </c>
      <c r="F20" s="3" t="s">
        <v>52</v>
      </c>
      <c r="G20" s="3">
        <v>45</v>
      </c>
      <c r="H20" s="4">
        <v>33.33</v>
      </c>
    </row>
    <row r="21" spans="1:8" x14ac:dyDescent="0.3">
      <c r="A21" s="2">
        <v>44773</v>
      </c>
      <c r="B21" s="3">
        <v>19</v>
      </c>
      <c r="C21" s="3" t="s">
        <v>53</v>
      </c>
      <c r="D21" s="3" t="s">
        <v>17</v>
      </c>
      <c r="E21" s="3" t="s">
        <v>18</v>
      </c>
      <c r="F21" s="3" t="s">
        <v>54</v>
      </c>
      <c r="G21" s="3">
        <v>50</v>
      </c>
      <c r="H21" s="4">
        <v>32</v>
      </c>
    </row>
    <row r="22" spans="1:8" x14ac:dyDescent="0.3">
      <c r="A22" s="2">
        <v>44804</v>
      </c>
      <c r="B22" s="3">
        <v>20</v>
      </c>
      <c r="C22" s="3" t="s">
        <v>55</v>
      </c>
      <c r="D22" s="3" t="s">
        <v>22</v>
      </c>
      <c r="E22" s="3" t="s">
        <v>23</v>
      </c>
      <c r="F22" s="3" t="s">
        <v>56</v>
      </c>
      <c r="G22" s="3">
        <v>55</v>
      </c>
      <c r="H22" s="4">
        <v>30.91</v>
      </c>
    </row>
    <row r="23" spans="1:8" x14ac:dyDescent="0.3">
      <c r="A23" s="2">
        <v>44834</v>
      </c>
      <c r="B23" s="3">
        <v>21</v>
      </c>
      <c r="C23" s="3" t="s">
        <v>57</v>
      </c>
      <c r="D23" s="3" t="s">
        <v>13</v>
      </c>
      <c r="E23" s="3" t="s">
        <v>10</v>
      </c>
      <c r="F23" s="3" t="s">
        <v>58</v>
      </c>
      <c r="G23" s="3">
        <v>60</v>
      </c>
      <c r="H23" s="4">
        <v>30</v>
      </c>
    </row>
    <row r="24" spans="1:8" x14ac:dyDescent="0.3">
      <c r="A24" s="2">
        <v>44865</v>
      </c>
      <c r="B24" s="3">
        <v>22</v>
      </c>
      <c r="C24" s="3" t="s">
        <v>59</v>
      </c>
      <c r="D24" s="3" t="s">
        <v>9</v>
      </c>
      <c r="E24" s="3" t="s">
        <v>14</v>
      </c>
      <c r="F24" s="3" t="s">
        <v>60</v>
      </c>
      <c r="G24" s="3">
        <v>0</v>
      </c>
      <c r="H24" s="3" t="s">
        <v>20</v>
      </c>
    </row>
    <row r="25" spans="1:8" x14ac:dyDescent="0.3">
      <c r="A25" s="2">
        <v>44895</v>
      </c>
      <c r="B25" s="3">
        <v>23</v>
      </c>
      <c r="C25" s="3" t="s">
        <v>61</v>
      </c>
      <c r="D25" s="3" t="s">
        <v>17</v>
      </c>
      <c r="E25" s="3" t="s">
        <v>18</v>
      </c>
      <c r="F25" s="3" t="s">
        <v>62</v>
      </c>
      <c r="G25" s="3">
        <v>65</v>
      </c>
      <c r="H25" s="4">
        <v>30.77</v>
      </c>
    </row>
    <row r="26" spans="1:8" x14ac:dyDescent="0.3">
      <c r="A26" s="2">
        <v>44926</v>
      </c>
      <c r="B26" s="3">
        <v>24</v>
      </c>
      <c r="C26" s="3" t="s">
        <v>63</v>
      </c>
      <c r="D26" s="3" t="s">
        <v>22</v>
      </c>
      <c r="E26" s="3" t="s">
        <v>23</v>
      </c>
      <c r="F26" s="3" t="s">
        <v>64</v>
      </c>
      <c r="G26" s="3">
        <v>70</v>
      </c>
      <c r="H26" s="4">
        <v>30</v>
      </c>
    </row>
    <row r="27" spans="1:8" x14ac:dyDescent="0.3">
      <c r="A27" s="2">
        <v>44957</v>
      </c>
      <c r="B27" s="3">
        <v>25</v>
      </c>
      <c r="C27" s="3" t="s">
        <v>65</v>
      </c>
      <c r="D27" s="3" t="s">
        <v>66</v>
      </c>
      <c r="E27" s="3" t="s">
        <v>67</v>
      </c>
      <c r="F27" s="3" t="s">
        <v>68</v>
      </c>
      <c r="G27" s="3">
        <v>75</v>
      </c>
      <c r="H27" s="4">
        <v>29.33</v>
      </c>
    </row>
    <row r="28" spans="1:8" x14ac:dyDescent="0.3">
      <c r="A28" s="2">
        <v>44985</v>
      </c>
      <c r="B28" s="3">
        <v>26</v>
      </c>
      <c r="C28" s="3" t="s">
        <v>69</v>
      </c>
      <c r="D28" s="3" t="s">
        <v>66</v>
      </c>
      <c r="E28" s="3" t="s">
        <v>70</v>
      </c>
      <c r="F28" s="3" t="s">
        <v>71</v>
      </c>
      <c r="G28" s="3">
        <v>80</v>
      </c>
      <c r="H28" s="4">
        <v>28.75</v>
      </c>
    </row>
    <row r="29" spans="1:8" x14ac:dyDescent="0.3">
      <c r="A29" s="2">
        <v>45016</v>
      </c>
      <c r="B29" s="3">
        <v>27</v>
      </c>
      <c r="C29" s="3" t="s">
        <v>41</v>
      </c>
      <c r="D29" s="3" t="s">
        <v>13</v>
      </c>
      <c r="E29" s="3" t="s">
        <v>72</v>
      </c>
      <c r="F29" s="3" t="s">
        <v>73</v>
      </c>
      <c r="G29" s="3">
        <v>0</v>
      </c>
      <c r="H29" s="3" t="s">
        <v>20</v>
      </c>
    </row>
    <row r="30" spans="1:8" x14ac:dyDescent="0.3">
      <c r="A30" s="2">
        <v>45046</v>
      </c>
      <c r="B30" s="3">
        <v>28</v>
      </c>
      <c r="C30" s="3" t="s">
        <v>39</v>
      </c>
      <c r="D30" s="3" t="s">
        <v>22</v>
      </c>
      <c r="E30" s="3" t="s">
        <v>74</v>
      </c>
      <c r="F30" s="3" t="s">
        <v>75</v>
      </c>
      <c r="G30" s="3">
        <v>85</v>
      </c>
      <c r="H30" s="4">
        <v>29.41</v>
      </c>
    </row>
  </sheetData>
  <conditionalFormatting sqref="B2:B30">
    <cfRule type="duplicateValues" dxfId="8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K10" sqref="K10"/>
    </sheetView>
  </sheetViews>
  <sheetFormatPr defaultRowHeight="14.4" x14ac:dyDescent="0.3"/>
  <sheetData>
    <row r="1" spans="1:8" ht="39.6" x14ac:dyDescent="0.3">
      <c r="A1" s="5" t="s">
        <v>85</v>
      </c>
      <c r="B1" s="5"/>
      <c r="C1" s="5"/>
      <c r="D1" s="5"/>
      <c r="E1" s="5"/>
      <c r="F1" s="5"/>
      <c r="G1" s="5"/>
      <c r="H1" s="5"/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44227</v>
      </c>
      <c r="B3" s="3">
        <v>1</v>
      </c>
      <c r="C3" s="3" t="s">
        <v>80</v>
      </c>
      <c r="D3" s="3" t="s">
        <v>9</v>
      </c>
      <c r="E3" s="3" t="s">
        <v>10</v>
      </c>
      <c r="F3" s="3" t="s">
        <v>388</v>
      </c>
      <c r="G3" s="3">
        <v>10</v>
      </c>
      <c r="H3" s="4">
        <v>20</v>
      </c>
    </row>
    <row r="4" spans="1:8" x14ac:dyDescent="0.3">
      <c r="A4" s="2">
        <v>44255</v>
      </c>
      <c r="B4" s="3">
        <v>2</v>
      </c>
      <c r="C4" s="3" t="s">
        <v>12</v>
      </c>
      <c r="D4" s="3" t="s">
        <v>13</v>
      </c>
      <c r="E4" s="3" t="s">
        <v>86</v>
      </c>
      <c r="F4" s="3" t="s">
        <v>15</v>
      </c>
      <c r="G4" s="3">
        <v>15</v>
      </c>
      <c r="H4" s="4">
        <v>10</v>
      </c>
    </row>
    <row r="5" spans="1:8" x14ac:dyDescent="0.3">
      <c r="A5" s="2">
        <v>44286</v>
      </c>
      <c r="B5" s="3">
        <v>3</v>
      </c>
      <c r="C5" s="3" t="s">
        <v>81</v>
      </c>
      <c r="D5" s="3" t="s">
        <v>17</v>
      </c>
      <c r="E5" s="3" t="s">
        <v>18</v>
      </c>
      <c r="F5" s="3" t="s">
        <v>19</v>
      </c>
      <c r="G5" s="3">
        <v>0</v>
      </c>
      <c r="H5" s="3" t="s">
        <v>20</v>
      </c>
    </row>
    <row r="6" spans="1:8" x14ac:dyDescent="0.3">
      <c r="A6" s="2">
        <v>44316</v>
      </c>
      <c r="B6" s="3">
        <v>4</v>
      </c>
      <c r="C6" s="3" t="s">
        <v>82</v>
      </c>
      <c r="D6" s="3" t="s">
        <v>22</v>
      </c>
      <c r="E6" s="3" t="s">
        <v>23</v>
      </c>
      <c r="F6" s="3" t="s">
        <v>24</v>
      </c>
      <c r="G6" s="3">
        <v>25</v>
      </c>
      <c r="H6" s="4">
        <v>10</v>
      </c>
    </row>
    <row r="7" spans="1:8" x14ac:dyDescent="0.3">
      <c r="A7" s="2">
        <v>44347</v>
      </c>
      <c r="B7" s="3">
        <v>5</v>
      </c>
      <c r="C7" s="3" t="s">
        <v>25</v>
      </c>
      <c r="D7" s="3" t="s">
        <v>13</v>
      </c>
      <c r="E7" s="3" t="s">
        <v>10</v>
      </c>
      <c r="F7" s="3" t="s">
        <v>26</v>
      </c>
      <c r="G7" s="3">
        <v>30</v>
      </c>
      <c r="H7" s="4">
        <v>16.670000000000002</v>
      </c>
    </row>
    <row r="8" spans="1:8" x14ac:dyDescent="0.3">
      <c r="A8" s="2">
        <v>44377</v>
      </c>
      <c r="B8" s="3">
        <v>6</v>
      </c>
      <c r="C8" s="3" t="s">
        <v>83</v>
      </c>
      <c r="D8" s="6" t="s">
        <v>84</v>
      </c>
      <c r="E8" s="3" t="s">
        <v>86</v>
      </c>
      <c r="F8" s="3" t="s">
        <v>28</v>
      </c>
      <c r="G8" s="3">
        <v>0</v>
      </c>
      <c r="H8" s="3" t="s">
        <v>20</v>
      </c>
    </row>
    <row r="9" spans="1:8" x14ac:dyDescent="0.3">
      <c r="A9" s="2">
        <v>44408</v>
      </c>
      <c r="B9" s="3">
        <v>7</v>
      </c>
      <c r="C9" s="3" t="s">
        <v>29</v>
      </c>
      <c r="D9" s="3" t="s">
        <v>17</v>
      </c>
      <c r="E9" s="3" t="s">
        <v>18</v>
      </c>
      <c r="F9" s="3" t="s">
        <v>30</v>
      </c>
      <c r="G9" s="3">
        <v>35</v>
      </c>
      <c r="H9" s="4">
        <v>10</v>
      </c>
    </row>
    <row r="10" spans="1:8" x14ac:dyDescent="0.3">
      <c r="A10" s="2">
        <v>44439</v>
      </c>
      <c r="B10" s="3">
        <v>8</v>
      </c>
      <c r="C10" s="3" t="s">
        <v>31</v>
      </c>
      <c r="D10" s="3" t="s">
        <v>22</v>
      </c>
      <c r="E10" s="3" t="s">
        <v>23</v>
      </c>
      <c r="F10" s="3" t="s">
        <v>32</v>
      </c>
      <c r="G10" s="3">
        <v>40</v>
      </c>
      <c r="H10" s="4">
        <v>15</v>
      </c>
    </row>
    <row r="11" spans="1:8" x14ac:dyDescent="0.3">
      <c r="A11" s="2">
        <v>44469</v>
      </c>
      <c r="B11" s="3">
        <v>9</v>
      </c>
      <c r="C11" s="3" t="s">
        <v>33</v>
      </c>
      <c r="D11" s="3" t="s">
        <v>13</v>
      </c>
      <c r="E11" s="3" t="s">
        <v>10</v>
      </c>
      <c r="F11" s="3" t="s">
        <v>34</v>
      </c>
      <c r="G11" s="3">
        <v>45</v>
      </c>
      <c r="H11" s="4">
        <v>12.22</v>
      </c>
    </row>
    <row r="12" spans="1:8" x14ac:dyDescent="0.3">
      <c r="A12" s="2">
        <v>44500</v>
      </c>
      <c r="B12" s="3">
        <v>10</v>
      </c>
      <c r="C12" s="3" t="s">
        <v>35</v>
      </c>
      <c r="D12" s="3" t="s">
        <v>9</v>
      </c>
      <c r="E12" s="3" t="s">
        <v>86</v>
      </c>
      <c r="F12" s="3" t="s">
        <v>36</v>
      </c>
      <c r="G12" s="3">
        <v>50</v>
      </c>
      <c r="H12" s="4">
        <v>14</v>
      </c>
    </row>
    <row r="13" spans="1:8" x14ac:dyDescent="0.3">
      <c r="A13" s="2">
        <v>44530</v>
      </c>
      <c r="B13" s="3">
        <v>11</v>
      </c>
      <c r="C13" s="3" t="s">
        <v>37</v>
      </c>
      <c r="D13" s="3" t="s">
        <v>17</v>
      </c>
      <c r="E13" s="3" t="s">
        <v>18</v>
      </c>
      <c r="F13" s="3" t="s">
        <v>38</v>
      </c>
      <c r="G13" s="3">
        <v>5</v>
      </c>
      <c r="H13" s="4">
        <v>160</v>
      </c>
    </row>
    <row r="14" spans="1:8" x14ac:dyDescent="0.3">
      <c r="A14" s="2">
        <v>44561</v>
      </c>
      <c r="B14" s="3">
        <v>12</v>
      </c>
      <c r="C14" s="3" t="s">
        <v>39</v>
      </c>
      <c r="D14" s="3" t="s">
        <v>22</v>
      </c>
      <c r="E14" s="3" t="s">
        <v>23</v>
      </c>
      <c r="F14" s="3" t="s">
        <v>40</v>
      </c>
      <c r="G14" s="3">
        <v>20</v>
      </c>
      <c r="H14" s="4">
        <v>45</v>
      </c>
    </row>
    <row r="15" spans="1:8" x14ac:dyDescent="0.3">
      <c r="A15" s="2">
        <v>44592</v>
      </c>
      <c r="B15" s="3">
        <v>13</v>
      </c>
      <c r="C15" s="3" t="s">
        <v>41</v>
      </c>
      <c r="D15" s="3" t="s">
        <v>13</v>
      </c>
      <c r="E15" s="3" t="s">
        <v>10</v>
      </c>
      <c r="F15" s="3" t="s">
        <v>42</v>
      </c>
      <c r="G15" s="3">
        <v>0</v>
      </c>
      <c r="H15" s="3" t="s">
        <v>20</v>
      </c>
    </row>
    <row r="16" spans="1:8" x14ac:dyDescent="0.3">
      <c r="A16" s="2">
        <v>44620</v>
      </c>
      <c r="B16" s="3">
        <v>14</v>
      </c>
      <c r="C16" s="3" t="s">
        <v>43</v>
      </c>
      <c r="D16" s="6" t="s">
        <v>84</v>
      </c>
      <c r="E16" s="3" t="s">
        <v>86</v>
      </c>
      <c r="F16" s="3" t="s">
        <v>44</v>
      </c>
      <c r="G16" s="3">
        <v>30</v>
      </c>
      <c r="H16" s="4">
        <v>36.67</v>
      </c>
    </row>
    <row r="17" spans="1:8" x14ac:dyDescent="0.3">
      <c r="A17" s="2">
        <v>44651</v>
      </c>
      <c r="B17" s="3">
        <v>15</v>
      </c>
      <c r="C17" s="3" t="s">
        <v>45</v>
      </c>
      <c r="D17" s="3" t="s">
        <v>17</v>
      </c>
      <c r="E17" s="3" t="s">
        <v>18</v>
      </c>
      <c r="F17" s="3" t="s">
        <v>46</v>
      </c>
      <c r="G17" s="3">
        <v>35</v>
      </c>
      <c r="H17" s="4">
        <v>34.29</v>
      </c>
    </row>
    <row r="18" spans="1:8" x14ac:dyDescent="0.3">
      <c r="A18" s="2">
        <v>44681</v>
      </c>
      <c r="B18" s="3">
        <v>16</v>
      </c>
      <c r="C18" s="3" t="s">
        <v>47</v>
      </c>
      <c r="D18" s="6" t="s">
        <v>84</v>
      </c>
      <c r="E18" s="3" t="s">
        <v>23</v>
      </c>
      <c r="F18" s="3" t="s">
        <v>48</v>
      </c>
      <c r="G18" s="3">
        <v>0</v>
      </c>
      <c r="H18" s="3" t="s">
        <v>20</v>
      </c>
    </row>
    <row r="19" spans="1:8" x14ac:dyDescent="0.3">
      <c r="A19" s="2">
        <v>44712</v>
      </c>
      <c r="B19" s="3">
        <v>17</v>
      </c>
      <c r="C19" s="3" t="s">
        <v>49</v>
      </c>
      <c r="D19" s="3" t="s">
        <v>13</v>
      </c>
      <c r="E19" s="3" t="s">
        <v>10</v>
      </c>
      <c r="F19" s="3" t="s">
        <v>50</v>
      </c>
      <c r="G19" s="3">
        <v>40</v>
      </c>
      <c r="H19" s="4">
        <v>35</v>
      </c>
    </row>
    <row r="20" spans="1:8" x14ac:dyDescent="0.3">
      <c r="A20" s="2">
        <v>44742</v>
      </c>
      <c r="B20" s="3">
        <v>18</v>
      </c>
      <c r="C20" s="3" t="s">
        <v>51</v>
      </c>
      <c r="D20" s="3" t="s">
        <v>9</v>
      </c>
      <c r="E20" s="3" t="s">
        <v>86</v>
      </c>
      <c r="F20" s="3" t="s">
        <v>52</v>
      </c>
      <c r="G20" s="3">
        <v>45</v>
      </c>
      <c r="H20" s="4">
        <v>33.33</v>
      </c>
    </row>
    <row r="21" spans="1:8" x14ac:dyDescent="0.3">
      <c r="A21" s="2">
        <v>44773</v>
      </c>
      <c r="B21" s="3">
        <v>19</v>
      </c>
      <c r="C21" s="3" t="s">
        <v>53</v>
      </c>
      <c r="D21" s="3" t="s">
        <v>17</v>
      </c>
      <c r="E21" s="3" t="s">
        <v>18</v>
      </c>
      <c r="F21" s="3" t="s">
        <v>54</v>
      </c>
      <c r="G21" s="3">
        <v>50</v>
      </c>
      <c r="H21" s="4">
        <v>32</v>
      </c>
    </row>
    <row r="22" spans="1:8" x14ac:dyDescent="0.3">
      <c r="A22" s="2">
        <v>44804</v>
      </c>
      <c r="B22" s="3">
        <v>20</v>
      </c>
      <c r="C22" s="3" t="s">
        <v>55</v>
      </c>
      <c r="D22" s="3" t="s">
        <v>22</v>
      </c>
      <c r="E22" s="3" t="s">
        <v>23</v>
      </c>
      <c r="F22" s="3" t="s">
        <v>56</v>
      </c>
      <c r="G22" s="3">
        <v>55</v>
      </c>
      <c r="H22" s="4">
        <v>30.91</v>
      </c>
    </row>
    <row r="23" spans="1:8" x14ac:dyDescent="0.3">
      <c r="A23" s="2">
        <v>44834</v>
      </c>
      <c r="B23" s="3">
        <v>21</v>
      </c>
      <c r="C23" s="3" t="s">
        <v>57</v>
      </c>
      <c r="D23" s="3" t="s">
        <v>13</v>
      </c>
      <c r="E23" s="3" t="s">
        <v>10</v>
      </c>
      <c r="F23" s="3" t="s">
        <v>58</v>
      </c>
      <c r="G23" s="3">
        <v>60</v>
      </c>
      <c r="H23" s="4">
        <v>30</v>
      </c>
    </row>
    <row r="24" spans="1:8" x14ac:dyDescent="0.3">
      <c r="A24" s="2">
        <v>44865</v>
      </c>
      <c r="B24" s="3">
        <v>22</v>
      </c>
      <c r="C24" s="3" t="s">
        <v>59</v>
      </c>
      <c r="D24" s="3" t="s">
        <v>9</v>
      </c>
      <c r="E24" s="3" t="s">
        <v>86</v>
      </c>
      <c r="F24" s="3" t="s">
        <v>60</v>
      </c>
      <c r="G24" s="3">
        <v>0</v>
      </c>
      <c r="H24" s="3" t="s">
        <v>20</v>
      </c>
    </row>
    <row r="25" spans="1:8" x14ac:dyDescent="0.3">
      <c r="A25" s="2">
        <v>44895</v>
      </c>
      <c r="B25" s="3">
        <v>23</v>
      </c>
      <c r="C25" s="3" t="s">
        <v>61</v>
      </c>
      <c r="D25" s="3" t="s">
        <v>17</v>
      </c>
      <c r="E25" s="3" t="s">
        <v>18</v>
      </c>
      <c r="F25" s="3" t="s">
        <v>62</v>
      </c>
      <c r="G25" s="3">
        <v>65</v>
      </c>
      <c r="H25" s="4">
        <v>30.77</v>
      </c>
    </row>
    <row r="26" spans="1:8" x14ac:dyDescent="0.3">
      <c r="A26" s="2">
        <v>44926</v>
      </c>
      <c r="B26" s="3">
        <v>24</v>
      </c>
      <c r="C26" s="3" t="s">
        <v>63</v>
      </c>
      <c r="D26" s="3" t="s">
        <v>22</v>
      </c>
      <c r="E26" s="3" t="s">
        <v>23</v>
      </c>
      <c r="F26" s="3" t="s">
        <v>64</v>
      </c>
      <c r="G26" s="3">
        <v>70</v>
      </c>
      <c r="H26" s="4">
        <v>30</v>
      </c>
    </row>
    <row r="27" spans="1:8" x14ac:dyDescent="0.3">
      <c r="A27" s="2">
        <v>44957</v>
      </c>
      <c r="B27" s="3">
        <v>25</v>
      </c>
      <c r="C27" s="3" t="s">
        <v>65</v>
      </c>
      <c r="D27" s="3" t="s">
        <v>66</v>
      </c>
      <c r="E27" s="3" t="s">
        <v>67</v>
      </c>
      <c r="F27" s="3" t="s">
        <v>68</v>
      </c>
      <c r="G27" s="3">
        <v>75</v>
      </c>
      <c r="H27" s="4">
        <v>29.33</v>
      </c>
    </row>
    <row r="28" spans="1:8" x14ac:dyDescent="0.3">
      <c r="A28" s="2">
        <v>44985</v>
      </c>
      <c r="B28" s="3">
        <v>26</v>
      </c>
      <c r="C28" s="3" t="s">
        <v>69</v>
      </c>
      <c r="D28" s="3" t="s">
        <v>66</v>
      </c>
      <c r="E28" s="3" t="s">
        <v>70</v>
      </c>
      <c r="F28" s="3" t="s">
        <v>71</v>
      </c>
      <c r="G28" s="3">
        <v>80</v>
      </c>
      <c r="H28" s="4">
        <v>28.75</v>
      </c>
    </row>
    <row r="29" spans="1:8" x14ac:dyDescent="0.3">
      <c r="A29" s="2">
        <v>45016</v>
      </c>
      <c r="B29" s="3">
        <v>27</v>
      </c>
      <c r="C29" s="3" t="s">
        <v>41</v>
      </c>
      <c r="D29" s="3" t="s">
        <v>13</v>
      </c>
      <c r="E29" s="3" t="s">
        <v>72</v>
      </c>
      <c r="F29" s="3" t="s">
        <v>73</v>
      </c>
      <c r="G29" s="3">
        <v>0</v>
      </c>
      <c r="H29" s="3" t="s">
        <v>20</v>
      </c>
    </row>
    <row r="30" spans="1:8" x14ac:dyDescent="0.3">
      <c r="A30" s="2">
        <v>45046</v>
      </c>
      <c r="B30" s="3">
        <v>28</v>
      </c>
      <c r="C30" s="3" t="s">
        <v>39</v>
      </c>
      <c r="D30" s="3" t="s">
        <v>22</v>
      </c>
      <c r="E30" s="3" t="s">
        <v>74</v>
      </c>
      <c r="F30" s="3" t="s">
        <v>75</v>
      </c>
      <c r="G30" s="3">
        <v>85</v>
      </c>
      <c r="H30" s="4">
        <v>29.41</v>
      </c>
    </row>
  </sheetData>
  <conditionalFormatting sqref="B2:B30">
    <cfRule type="duplicateValues" dxfId="8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A4" workbookViewId="0">
      <selection activeCell="Q30" sqref="Q30"/>
    </sheetView>
  </sheetViews>
  <sheetFormatPr defaultRowHeight="14.4" x14ac:dyDescent="0.3"/>
  <sheetData>
    <row r="1" spans="1:13" ht="39.6" x14ac:dyDescent="0.3">
      <c r="A1" s="5" t="s">
        <v>87</v>
      </c>
      <c r="B1" s="5"/>
      <c r="C1" s="5"/>
      <c r="D1" s="5"/>
      <c r="E1" s="5"/>
      <c r="F1" s="5"/>
      <c r="G1" s="5"/>
      <c r="H1" s="5"/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t="s">
        <v>3</v>
      </c>
    </row>
    <row r="3" spans="1:13" x14ac:dyDescent="0.3">
      <c r="A3" s="7">
        <v>44227</v>
      </c>
      <c r="B3" s="3">
        <v>1</v>
      </c>
      <c r="C3" s="3" t="s">
        <v>80</v>
      </c>
      <c r="D3" s="3" t="s">
        <v>9</v>
      </c>
      <c r="E3" s="3" t="s">
        <v>10</v>
      </c>
      <c r="F3" s="3" t="s">
        <v>11</v>
      </c>
      <c r="G3" s="3">
        <v>10</v>
      </c>
      <c r="H3" s="4">
        <v>20</v>
      </c>
      <c r="J3" t="s">
        <v>17</v>
      </c>
    </row>
    <row r="4" spans="1:13" ht="23.4" x14ac:dyDescent="0.3">
      <c r="A4" s="7">
        <v>44255</v>
      </c>
      <c r="B4" s="3">
        <v>2</v>
      </c>
      <c r="C4" s="3" t="s">
        <v>12</v>
      </c>
      <c r="D4" s="3" t="s">
        <v>13</v>
      </c>
      <c r="E4" s="3" t="s">
        <v>86</v>
      </c>
      <c r="F4" s="3" t="s">
        <v>15</v>
      </c>
      <c r="G4" s="3">
        <v>15</v>
      </c>
      <c r="H4" s="4">
        <v>10</v>
      </c>
      <c r="J4" t="s">
        <v>13</v>
      </c>
      <c r="M4" s="34" t="s">
        <v>117</v>
      </c>
    </row>
    <row r="5" spans="1:13" x14ac:dyDescent="0.3">
      <c r="A5" s="7">
        <v>44286</v>
      </c>
      <c r="B5" s="3">
        <v>3</v>
      </c>
      <c r="C5" s="3" t="s">
        <v>81</v>
      </c>
      <c r="D5" s="3" t="s">
        <v>17</v>
      </c>
      <c r="E5" s="3" t="s">
        <v>18</v>
      </c>
      <c r="F5" s="3" t="s">
        <v>19</v>
      </c>
      <c r="G5" s="3">
        <v>0</v>
      </c>
      <c r="H5" s="3" t="s">
        <v>20</v>
      </c>
      <c r="J5" t="s">
        <v>17</v>
      </c>
    </row>
    <row r="6" spans="1:13" ht="15" x14ac:dyDescent="0.35">
      <c r="A6" s="7">
        <v>44316</v>
      </c>
      <c r="B6" s="3">
        <v>4</v>
      </c>
      <c r="C6" s="3" t="s">
        <v>82</v>
      </c>
      <c r="D6" s="3" t="s">
        <v>22</v>
      </c>
      <c r="E6" s="3" t="s">
        <v>23</v>
      </c>
      <c r="F6" s="3" t="s">
        <v>24</v>
      </c>
      <c r="G6" s="3">
        <v>25</v>
      </c>
      <c r="H6" s="4">
        <v>10</v>
      </c>
      <c r="J6" t="s">
        <v>22</v>
      </c>
      <c r="M6" s="33" t="s">
        <v>118</v>
      </c>
    </row>
    <row r="7" spans="1:13" x14ac:dyDescent="0.3">
      <c r="A7" s="7">
        <v>44347</v>
      </c>
      <c r="B7" s="3">
        <v>5</v>
      </c>
      <c r="C7" s="3" t="s">
        <v>25</v>
      </c>
      <c r="D7" s="3" t="s">
        <v>13</v>
      </c>
      <c r="E7" s="3" t="s">
        <v>10</v>
      </c>
      <c r="F7" s="3" t="s">
        <v>26</v>
      </c>
      <c r="G7" s="3">
        <v>30</v>
      </c>
      <c r="H7" s="4">
        <v>16.670000000000002</v>
      </c>
      <c r="J7" t="s">
        <v>13</v>
      </c>
    </row>
    <row r="8" spans="1:13" x14ac:dyDescent="0.3">
      <c r="A8" s="7">
        <v>44377</v>
      </c>
      <c r="B8" s="3">
        <v>6</v>
      </c>
      <c r="C8" s="3" t="s">
        <v>83</v>
      </c>
      <c r="D8" s="6" t="s">
        <v>84</v>
      </c>
      <c r="E8" s="3" t="s">
        <v>86</v>
      </c>
      <c r="F8" s="3" t="s">
        <v>28</v>
      </c>
      <c r="G8" s="3">
        <v>0</v>
      </c>
      <c r="H8" s="3" t="s">
        <v>20</v>
      </c>
      <c r="J8" t="s">
        <v>84</v>
      </c>
      <c r="M8" s="33" t="s">
        <v>119</v>
      </c>
    </row>
    <row r="9" spans="1:13" x14ac:dyDescent="0.3">
      <c r="A9" s="7">
        <v>44408</v>
      </c>
      <c r="B9" s="3">
        <v>7</v>
      </c>
      <c r="C9" s="3" t="s">
        <v>29</v>
      </c>
      <c r="D9" s="3" t="s">
        <v>17</v>
      </c>
      <c r="E9" s="3" t="s">
        <v>18</v>
      </c>
      <c r="F9" s="3" t="s">
        <v>30</v>
      </c>
      <c r="G9" s="3">
        <v>35</v>
      </c>
      <c r="H9" s="4">
        <v>10</v>
      </c>
      <c r="J9" t="s">
        <v>17</v>
      </c>
      <c r="M9" s="32"/>
    </row>
    <row r="10" spans="1:13" x14ac:dyDescent="0.3">
      <c r="A10" s="7">
        <v>44439</v>
      </c>
      <c r="B10" s="3">
        <v>8</v>
      </c>
      <c r="C10" s="3" t="s">
        <v>31</v>
      </c>
      <c r="D10" s="3" t="s">
        <v>22</v>
      </c>
      <c r="E10" s="3" t="s">
        <v>23</v>
      </c>
      <c r="F10" s="3" t="s">
        <v>32</v>
      </c>
      <c r="G10" s="3">
        <v>40</v>
      </c>
      <c r="H10" s="4">
        <v>15</v>
      </c>
      <c r="J10" t="s">
        <v>22</v>
      </c>
      <c r="M10" s="32" t="s">
        <v>120</v>
      </c>
    </row>
    <row r="11" spans="1:13" x14ac:dyDescent="0.3">
      <c r="A11" s="7">
        <v>44469</v>
      </c>
      <c r="B11" s="3">
        <v>9</v>
      </c>
      <c r="C11" s="3" t="s">
        <v>33</v>
      </c>
      <c r="D11" s="3" t="s">
        <v>13</v>
      </c>
      <c r="E11" s="3" t="s">
        <v>10</v>
      </c>
      <c r="F11" s="3" t="s">
        <v>34</v>
      </c>
      <c r="G11" s="3">
        <v>45</v>
      </c>
      <c r="H11" s="4">
        <v>12.22</v>
      </c>
      <c r="J11" t="s">
        <v>13</v>
      </c>
      <c r="M11" s="32"/>
    </row>
    <row r="12" spans="1:13" x14ac:dyDescent="0.3">
      <c r="A12" s="7">
        <v>44500</v>
      </c>
      <c r="B12" s="3">
        <v>10</v>
      </c>
      <c r="C12" s="3" t="s">
        <v>35</v>
      </c>
      <c r="D12" s="3" t="s">
        <v>9</v>
      </c>
      <c r="E12" s="3" t="s">
        <v>86</v>
      </c>
      <c r="F12" s="3" t="s">
        <v>36</v>
      </c>
      <c r="G12" s="3">
        <v>50</v>
      </c>
      <c r="H12" s="4">
        <v>14</v>
      </c>
      <c r="J12" t="s">
        <v>9</v>
      </c>
      <c r="M12" s="32" t="s">
        <v>121</v>
      </c>
    </row>
    <row r="13" spans="1:13" x14ac:dyDescent="0.3">
      <c r="A13" s="7">
        <v>44530</v>
      </c>
      <c r="B13" s="3">
        <v>11</v>
      </c>
      <c r="C13" s="3" t="s">
        <v>37</v>
      </c>
      <c r="D13" s="3" t="s">
        <v>17</v>
      </c>
      <c r="E13" s="3" t="s">
        <v>18</v>
      </c>
      <c r="F13" s="3" t="s">
        <v>38</v>
      </c>
      <c r="G13" s="3">
        <v>5</v>
      </c>
      <c r="H13" s="4">
        <v>160</v>
      </c>
      <c r="J13" t="s">
        <v>17</v>
      </c>
      <c r="M13" s="32"/>
    </row>
    <row r="14" spans="1:13" x14ac:dyDescent="0.3">
      <c r="A14" s="7">
        <v>44561</v>
      </c>
      <c r="B14" s="3">
        <v>12</v>
      </c>
      <c r="C14" s="3" t="s">
        <v>39</v>
      </c>
      <c r="D14" s="3" t="s">
        <v>22</v>
      </c>
      <c r="E14" s="3" t="s">
        <v>23</v>
      </c>
      <c r="F14" s="3" t="s">
        <v>40</v>
      </c>
      <c r="G14" s="3">
        <v>20</v>
      </c>
      <c r="H14" s="4">
        <v>45</v>
      </c>
      <c r="J14" t="s">
        <v>22</v>
      </c>
      <c r="M14" s="32"/>
    </row>
    <row r="15" spans="1:13" x14ac:dyDescent="0.3">
      <c r="A15" s="7">
        <v>44592</v>
      </c>
      <c r="B15" s="3">
        <v>13</v>
      </c>
      <c r="C15" s="3" t="s">
        <v>41</v>
      </c>
      <c r="D15" s="3" t="s">
        <v>13</v>
      </c>
      <c r="E15" s="3" t="s">
        <v>10</v>
      </c>
      <c r="F15" s="3" t="s">
        <v>42</v>
      </c>
      <c r="G15" s="3">
        <v>0</v>
      </c>
      <c r="H15" s="3" t="s">
        <v>20</v>
      </c>
      <c r="J15" t="s">
        <v>13</v>
      </c>
      <c r="M15" s="35"/>
    </row>
    <row r="16" spans="1:13" x14ac:dyDescent="0.3">
      <c r="A16" s="7">
        <v>44620</v>
      </c>
      <c r="B16" s="3">
        <v>14</v>
      </c>
      <c r="C16" s="3" t="s">
        <v>43</v>
      </c>
      <c r="D16" s="6" t="s">
        <v>84</v>
      </c>
      <c r="E16" s="3" t="s">
        <v>86</v>
      </c>
      <c r="F16" s="3" t="s">
        <v>44</v>
      </c>
      <c r="G16" s="3">
        <v>30</v>
      </c>
      <c r="H16" s="4">
        <v>36.67</v>
      </c>
      <c r="J16" t="s">
        <v>84</v>
      </c>
      <c r="M16" s="36" t="s">
        <v>122</v>
      </c>
    </row>
    <row r="17" spans="1:13" x14ac:dyDescent="0.3">
      <c r="A17" s="7">
        <v>44651</v>
      </c>
      <c r="B17" s="3">
        <v>15</v>
      </c>
      <c r="C17" s="3" t="s">
        <v>45</v>
      </c>
      <c r="D17" s="3" t="s">
        <v>17</v>
      </c>
      <c r="E17" s="3" t="s">
        <v>18</v>
      </c>
      <c r="F17" s="3" t="s">
        <v>46</v>
      </c>
      <c r="G17" s="3">
        <v>35</v>
      </c>
      <c r="H17" s="4">
        <v>34.29</v>
      </c>
      <c r="J17" t="s">
        <v>17</v>
      </c>
      <c r="M17" s="35"/>
    </row>
    <row r="18" spans="1:13" ht="15" x14ac:dyDescent="0.3">
      <c r="A18" s="7">
        <v>44681</v>
      </c>
      <c r="B18" s="3">
        <v>16</v>
      </c>
      <c r="C18" s="3" t="s">
        <v>47</v>
      </c>
      <c r="D18" s="6" t="s">
        <v>84</v>
      </c>
      <c r="E18" s="3" t="s">
        <v>23</v>
      </c>
      <c r="F18" s="3" t="s">
        <v>48</v>
      </c>
      <c r="G18" s="3">
        <v>0</v>
      </c>
      <c r="H18" s="3" t="s">
        <v>20</v>
      </c>
      <c r="J18" t="s">
        <v>84</v>
      </c>
      <c r="M18" s="36" t="s">
        <v>123</v>
      </c>
    </row>
    <row r="19" spans="1:13" x14ac:dyDescent="0.3">
      <c r="A19" s="7">
        <v>44712</v>
      </c>
      <c r="B19" s="3">
        <v>17</v>
      </c>
      <c r="C19" s="3" t="s">
        <v>49</v>
      </c>
      <c r="D19" s="3" t="s">
        <v>13</v>
      </c>
      <c r="E19" s="3" t="s">
        <v>10</v>
      </c>
      <c r="F19" s="3" t="s">
        <v>50</v>
      </c>
      <c r="G19" s="3">
        <v>40</v>
      </c>
      <c r="H19" s="4">
        <v>35</v>
      </c>
      <c r="J19" t="s">
        <v>13</v>
      </c>
      <c r="M19" s="35"/>
    </row>
    <row r="20" spans="1:13" x14ac:dyDescent="0.3">
      <c r="A20" s="7">
        <v>44742</v>
      </c>
      <c r="B20" s="3">
        <v>18</v>
      </c>
      <c r="C20" s="3" t="s">
        <v>51</v>
      </c>
      <c r="D20" s="3" t="s">
        <v>9</v>
      </c>
      <c r="E20" s="3" t="s">
        <v>86</v>
      </c>
      <c r="F20" s="3" t="s">
        <v>52</v>
      </c>
      <c r="G20" s="3">
        <v>45</v>
      </c>
      <c r="H20" s="4">
        <v>33.33</v>
      </c>
      <c r="J20" t="s">
        <v>9</v>
      </c>
      <c r="M20" s="35" t="s">
        <v>124</v>
      </c>
    </row>
    <row r="21" spans="1:13" x14ac:dyDescent="0.3">
      <c r="A21" s="7">
        <v>44773</v>
      </c>
      <c r="B21" s="3">
        <v>19</v>
      </c>
      <c r="C21" s="3" t="s">
        <v>53</v>
      </c>
      <c r="D21" s="3" t="s">
        <v>17</v>
      </c>
      <c r="E21" s="3" t="s">
        <v>18</v>
      </c>
      <c r="F21" s="3" t="s">
        <v>54</v>
      </c>
      <c r="G21" s="3">
        <v>50</v>
      </c>
      <c r="H21" s="4">
        <v>32</v>
      </c>
      <c r="J21" t="s">
        <v>17</v>
      </c>
      <c r="M21" s="35"/>
    </row>
    <row r="22" spans="1:13" x14ac:dyDescent="0.3">
      <c r="A22" s="7">
        <v>44804</v>
      </c>
      <c r="B22" s="3">
        <v>20</v>
      </c>
      <c r="C22" s="3" t="s">
        <v>55</v>
      </c>
      <c r="D22" s="3" t="s">
        <v>22</v>
      </c>
      <c r="E22" s="3" t="s">
        <v>23</v>
      </c>
      <c r="F22" s="3" t="s">
        <v>56</v>
      </c>
      <c r="G22" s="3">
        <v>55</v>
      </c>
      <c r="H22" s="4">
        <v>30.91</v>
      </c>
      <c r="J22" t="s">
        <v>22</v>
      </c>
      <c r="M22" s="35" t="s">
        <v>125</v>
      </c>
    </row>
    <row r="23" spans="1:13" x14ac:dyDescent="0.3">
      <c r="A23" s="7">
        <v>44834</v>
      </c>
      <c r="B23" s="3">
        <v>21</v>
      </c>
      <c r="C23" s="3" t="s">
        <v>57</v>
      </c>
      <c r="D23" s="3" t="s">
        <v>13</v>
      </c>
      <c r="E23" s="3" t="s">
        <v>10</v>
      </c>
      <c r="F23" s="3" t="s">
        <v>58</v>
      </c>
      <c r="G23" s="3">
        <v>60</v>
      </c>
      <c r="H23" s="4">
        <v>30</v>
      </c>
      <c r="J23" t="s">
        <v>13</v>
      </c>
      <c r="M23" s="32"/>
    </row>
    <row r="24" spans="1:13" x14ac:dyDescent="0.3">
      <c r="A24" s="7">
        <v>44865</v>
      </c>
      <c r="B24" s="3">
        <v>22</v>
      </c>
      <c r="C24" s="3" t="s">
        <v>59</v>
      </c>
      <c r="D24" s="3" t="s">
        <v>9</v>
      </c>
      <c r="E24" s="3" t="s">
        <v>86</v>
      </c>
      <c r="F24" s="3" t="s">
        <v>60</v>
      </c>
      <c r="G24" s="3">
        <v>0</v>
      </c>
      <c r="H24" s="3" t="s">
        <v>20</v>
      </c>
      <c r="J24" t="s">
        <v>9</v>
      </c>
      <c r="M24" s="32" t="s">
        <v>126</v>
      </c>
    </row>
    <row r="25" spans="1:13" x14ac:dyDescent="0.3">
      <c r="A25" s="7">
        <v>44895</v>
      </c>
      <c r="B25" s="3">
        <v>23</v>
      </c>
      <c r="C25" s="3" t="s">
        <v>61</v>
      </c>
      <c r="D25" s="3" t="s">
        <v>17</v>
      </c>
      <c r="E25" s="3" t="s">
        <v>18</v>
      </c>
      <c r="F25" s="3" t="s">
        <v>62</v>
      </c>
      <c r="G25" s="3">
        <v>65</v>
      </c>
      <c r="H25" s="4">
        <v>30.77</v>
      </c>
      <c r="J25" t="s">
        <v>17</v>
      </c>
    </row>
    <row r="26" spans="1:13" x14ac:dyDescent="0.3">
      <c r="A26" s="7">
        <v>44926</v>
      </c>
      <c r="B26" s="3">
        <v>24</v>
      </c>
      <c r="C26" s="3" t="s">
        <v>63</v>
      </c>
      <c r="D26" s="3" t="s">
        <v>22</v>
      </c>
      <c r="E26" s="3" t="s">
        <v>23</v>
      </c>
      <c r="F26" s="3" t="s">
        <v>64</v>
      </c>
      <c r="G26" s="3">
        <v>70</v>
      </c>
      <c r="H26" s="4">
        <v>30</v>
      </c>
      <c r="J26" t="s">
        <v>22</v>
      </c>
      <c r="M26" s="33" t="s">
        <v>389</v>
      </c>
    </row>
    <row r="27" spans="1:13" x14ac:dyDescent="0.3">
      <c r="A27" s="7">
        <v>44957</v>
      </c>
      <c r="B27" s="3">
        <v>25</v>
      </c>
      <c r="C27" s="3" t="s">
        <v>65</v>
      </c>
      <c r="D27" s="3" t="s">
        <v>66</v>
      </c>
      <c r="E27" s="3" t="s">
        <v>67</v>
      </c>
      <c r="F27" s="3" t="s">
        <v>68</v>
      </c>
      <c r="G27" s="3">
        <v>75</v>
      </c>
      <c r="H27" s="4">
        <v>29.33</v>
      </c>
      <c r="J27" t="s">
        <v>66</v>
      </c>
      <c r="M27" s="32"/>
    </row>
    <row r="28" spans="1:13" x14ac:dyDescent="0.3">
      <c r="A28" s="7">
        <v>44985</v>
      </c>
      <c r="B28" s="3">
        <v>26</v>
      </c>
      <c r="C28" s="3" t="s">
        <v>69</v>
      </c>
      <c r="D28" s="3" t="s">
        <v>66</v>
      </c>
      <c r="E28" s="3" t="s">
        <v>70</v>
      </c>
      <c r="F28" s="3" t="s">
        <v>71</v>
      </c>
      <c r="G28" s="3">
        <v>80</v>
      </c>
      <c r="H28" s="4">
        <v>28.75</v>
      </c>
      <c r="J28" t="s">
        <v>66</v>
      </c>
      <c r="M28" s="32" t="s">
        <v>390</v>
      </c>
    </row>
    <row r="29" spans="1:13" x14ac:dyDescent="0.3">
      <c r="A29" s="7">
        <v>45016</v>
      </c>
      <c r="B29" s="3">
        <v>27</v>
      </c>
      <c r="C29" s="3" t="s">
        <v>41</v>
      </c>
      <c r="D29" s="3" t="s">
        <v>13</v>
      </c>
      <c r="E29" s="3" t="s">
        <v>72</v>
      </c>
      <c r="F29" s="3" t="s">
        <v>73</v>
      </c>
      <c r="G29" s="3">
        <v>0</v>
      </c>
      <c r="H29" s="3" t="s">
        <v>20</v>
      </c>
      <c r="J29" t="s">
        <v>13</v>
      </c>
      <c r="M29" s="32"/>
    </row>
    <row r="30" spans="1:13" x14ac:dyDescent="0.3">
      <c r="A30" s="7">
        <v>45046</v>
      </c>
      <c r="B30" s="3">
        <v>28</v>
      </c>
      <c r="C30" s="3" t="s">
        <v>39</v>
      </c>
      <c r="D30" s="3" t="s">
        <v>22</v>
      </c>
      <c r="E30" s="3" t="s">
        <v>74</v>
      </c>
      <c r="F30" s="3" t="s">
        <v>75</v>
      </c>
      <c r="G30" s="3">
        <v>85</v>
      </c>
      <c r="H30" s="4">
        <v>29.41</v>
      </c>
      <c r="J30" t="s">
        <v>22</v>
      </c>
      <c r="M30" s="32" t="s">
        <v>391</v>
      </c>
    </row>
    <row r="31" spans="1:13" x14ac:dyDescent="0.3">
      <c r="M31" s="32"/>
    </row>
    <row r="32" spans="1:13" x14ac:dyDescent="0.3">
      <c r="M32" s="32" t="s">
        <v>392</v>
      </c>
    </row>
    <row r="33" spans="13:13" x14ac:dyDescent="0.3">
      <c r="M33" s="32"/>
    </row>
    <row r="34" spans="13:13" x14ac:dyDescent="0.3">
      <c r="M34" s="32" t="s">
        <v>393</v>
      </c>
    </row>
  </sheetData>
  <conditionalFormatting sqref="B2:B30">
    <cfRule type="duplicateValues" dxfId="82" priority="1"/>
  </conditionalFormatting>
  <dataValidations count="2">
    <dataValidation type="list" allowBlank="1" showInputMessage="1" showErrorMessage="1" sqref="D3:D30">
      <formula1>"North, South, East, West, Asgard"</formula1>
    </dataValidation>
    <dataValidation type="list" allowBlank="1" showInputMessage="1" showErrorMessage="1" sqref="J3:J30">
      <formula1>"North,South,East,West,TBA"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J2" sqref="J2:J12"/>
    </sheetView>
  </sheetViews>
  <sheetFormatPr defaultRowHeight="14.4" x14ac:dyDescent="0.3"/>
  <cols>
    <col min="1" max="1" width="14.88671875" bestFit="1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bestFit="1" customWidth="1"/>
    <col min="8" max="8" width="17.88671875" bestFit="1" customWidth="1"/>
  </cols>
  <sheetData>
    <row r="1" spans="1:15" s="8" customFormat="1" ht="39.6" x14ac:dyDescent="0.4">
      <c r="A1" s="5" t="s">
        <v>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11" customFormat="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J2" s="33" t="s">
        <v>394</v>
      </c>
    </row>
    <row r="3" spans="1:15" x14ac:dyDescent="0.3">
      <c r="A3" s="12">
        <v>44227</v>
      </c>
      <c r="B3" s="13">
        <v>1</v>
      </c>
      <c r="C3" s="14" t="s">
        <v>80</v>
      </c>
      <c r="D3" s="14" t="s">
        <v>9</v>
      </c>
      <c r="E3" s="14" t="s">
        <v>10</v>
      </c>
      <c r="F3" s="14" t="s">
        <v>11</v>
      </c>
      <c r="G3" s="13">
        <v>10</v>
      </c>
      <c r="H3" s="15">
        <v>20</v>
      </c>
      <c r="J3" s="32"/>
    </row>
    <row r="4" spans="1:15" x14ac:dyDescent="0.3">
      <c r="A4" s="12">
        <v>44255</v>
      </c>
      <c r="B4" s="13">
        <v>2</v>
      </c>
      <c r="C4" s="14" t="s">
        <v>12</v>
      </c>
      <c r="D4" s="14" t="s">
        <v>13</v>
      </c>
      <c r="E4" s="14" t="s">
        <v>86</v>
      </c>
      <c r="F4" s="14" t="s">
        <v>15</v>
      </c>
      <c r="G4" s="13">
        <v>15</v>
      </c>
      <c r="H4" s="15">
        <v>10</v>
      </c>
      <c r="J4" s="32" t="s">
        <v>395</v>
      </c>
    </row>
    <row r="5" spans="1:15" x14ac:dyDescent="0.3">
      <c r="A5" s="12">
        <v>44286</v>
      </c>
      <c r="B5" s="13">
        <v>3</v>
      </c>
      <c r="C5" s="14" t="s">
        <v>81</v>
      </c>
      <c r="D5" s="14" t="s">
        <v>17</v>
      </c>
      <c r="E5" s="14" t="s">
        <v>18</v>
      </c>
      <c r="F5" s="14" t="s">
        <v>19</v>
      </c>
      <c r="G5" s="13">
        <v>0</v>
      </c>
      <c r="H5" s="14" t="s">
        <v>20</v>
      </c>
      <c r="J5" s="32"/>
    </row>
    <row r="6" spans="1:15" x14ac:dyDescent="0.3">
      <c r="A6" s="12">
        <v>44316</v>
      </c>
      <c r="B6" s="13">
        <v>4</v>
      </c>
      <c r="C6" s="14" t="s">
        <v>82</v>
      </c>
      <c r="D6" s="14" t="s">
        <v>22</v>
      </c>
      <c r="E6" s="14" t="s">
        <v>23</v>
      </c>
      <c r="F6" s="14" t="s">
        <v>24</v>
      </c>
      <c r="G6" s="13">
        <v>25</v>
      </c>
      <c r="H6" s="15">
        <v>10</v>
      </c>
      <c r="J6" s="32" t="s">
        <v>396</v>
      </c>
    </row>
    <row r="7" spans="1:15" x14ac:dyDescent="0.3">
      <c r="A7" s="12">
        <v>44347</v>
      </c>
      <c r="B7" s="13">
        <v>5</v>
      </c>
      <c r="C7" s="14" t="s">
        <v>25</v>
      </c>
      <c r="D7" s="14" t="s">
        <v>13</v>
      </c>
      <c r="E7" s="14" t="s">
        <v>10</v>
      </c>
      <c r="F7" s="14" t="s">
        <v>26</v>
      </c>
      <c r="G7" s="13">
        <v>30</v>
      </c>
      <c r="H7" s="15">
        <v>16.670000000000002</v>
      </c>
      <c r="J7" s="32"/>
    </row>
    <row r="8" spans="1:15" x14ac:dyDescent="0.3">
      <c r="A8" s="12">
        <v>44377</v>
      </c>
      <c r="B8" s="13">
        <v>6</v>
      </c>
      <c r="C8" s="14" t="s">
        <v>83</v>
      </c>
      <c r="D8" s="16" t="s">
        <v>13</v>
      </c>
      <c r="E8" s="14" t="s">
        <v>86</v>
      </c>
      <c r="F8" s="14" t="s">
        <v>28</v>
      </c>
      <c r="G8" s="13">
        <v>0</v>
      </c>
      <c r="H8" s="14" t="s">
        <v>20</v>
      </c>
      <c r="J8" s="32" t="s">
        <v>397</v>
      </c>
    </row>
    <row r="9" spans="1:15" x14ac:dyDescent="0.3">
      <c r="A9" s="12">
        <v>44408</v>
      </c>
      <c r="B9" s="13">
        <v>7</v>
      </c>
      <c r="C9" s="14" t="s">
        <v>29</v>
      </c>
      <c r="D9" s="14" t="s">
        <v>17</v>
      </c>
      <c r="E9" s="14" t="s">
        <v>18</v>
      </c>
      <c r="F9" s="14" t="s">
        <v>30</v>
      </c>
      <c r="G9" s="13">
        <v>35</v>
      </c>
      <c r="H9" s="15">
        <v>10</v>
      </c>
      <c r="J9" s="32"/>
    </row>
    <row r="10" spans="1:15" x14ac:dyDescent="0.3">
      <c r="A10" s="12">
        <v>44439</v>
      </c>
      <c r="B10" s="13">
        <v>8</v>
      </c>
      <c r="C10" s="14" t="s">
        <v>31</v>
      </c>
      <c r="D10" s="14" t="s">
        <v>22</v>
      </c>
      <c r="E10" s="14" t="s">
        <v>23</v>
      </c>
      <c r="F10" s="14" t="s">
        <v>32</v>
      </c>
      <c r="G10" s="13">
        <v>40</v>
      </c>
      <c r="H10" s="15">
        <v>15</v>
      </c>
      <c r="J10" s="32" t="s">
        <v>398</v>
      </c>
    </row>
    <row r="11" spans="1:15" x14ac:dyDescent="0.3">
      <c r="A11" s="12">
        <v>44469</v>
      </c>
      <c r="B11" s="13">
        <v>9</v>
      </c>
      <c r="C11" s="14" t="s">
        <v>33</v>
      </c>
      <c r="D11" s="14" t="s">
        <v>13</v>
      </c>
      <c r="E11" s="14" t="s">
        <v>10</v>
      </c>
      <c r="F11" s="14" t="s">
        <v>34</v>
      </c>
      <c r="G11" s="13">
        <v>45</v>
      </c>
      <c r="H11" s="15">
        <v>12.22</v>
      </c>
      <c r="J11" s="32"/>
    </row>
    <row r="12" spans="1:15" x14ac:dyDescent="0.3">
      <c r="A12" s="12">
        <v>44500</v>
      </c>
      <c r="B12" s="13">
        <v>10</v>
      </c>
      <c r="C12" s="14" t="s">
        <v>35</v>
      </c>
      <c r="D12" s="14" t="s">
        <v>9</v>
      </c>
      <c r="E12" s="14" t="s">
        <v>86</v>
      </c>
      <c r="F12" s="14" t="s">
        <v>36</v>
      </c>
      <c r="G12" s="13">
        <v>50</v>
      </c>
      <c r="H12" s="15">
        <v>14</v>
      </c>
      <c r="J12" s="32" t="s">
        <v>399</v>
      </c>
    </row>
    <row r="13" spans="1:15" x14ac:dyDescent="0.3">
      <c r="A13" s="12">
        <v>44530</v>
      </c>
      <c r="B13" s="13">
        <v>11</v>
      </c>
      <c r="C13" s="14" t="s">
        <v>37</v>
      </c>
      <c r="D13" s="14" t="s">
        <v>17</v>
      </c>
      <c r="E13" s="14" t="s">
        <v>18</v>
      </c>
      <c r="F13" s="14" t="s">
        <v>38</v>
      </c>
      <c r="G13" s="13">
        <v>5</v>
      </c>
      <c r="H13" s="15">
        <v>160</v>
      </c>
    </row>
    <row r="14" spans="1:15" x14ac:dyDescent="0.3">
      <c r="A14" s="12">
        <v>44561</v>
      </c>
      <c r="B14" s="13">
        <v>12</v>
      </c>
      <c r="C14" s="14" t="s">
        <v>39</v>
      </c>
      <c r="D14" s="14" t="s">
        <v>22</v>
      </c>
      <c r="E14" s="14" t="s">
        <v>23</v>
      </c>
      <c r="F14" s="14" t="s">
        <v>40</v>
      </c>
      <c r="G14" s="13">
        <v>20</v>
      </c>
      <c r="H14" s="15">
        <v>45</v>
      </c>
    </row>
    <row r="15" spans="1:15" x14ac:dyDescent="0.3">
      <c r="A15" s="12">
        <v>44592</v>
      </c>
      <c r="B15" s="13">
        <v>13</v>
      </c>
      <c r="C15" s="14" t="s">
        <v>41</v>
      </c>
      <c r="D15" s="14" t="s">
        <v>13</v>
      </c>
      <c r="E15" s="14" t="s">
        <v>10</v>
      </c>
      <c r="F15" s="14" t="s">
        <v>42</v>
      </c>
      <c r="G15" s="13">
        <v>0</v>
      </c>
      <c r="H15" s="14" t="s">
        <v>20</v>
      </c>
    </row>
    <row r="16" spans="1:15" x14ac:dyDescent="0.3">
      <c r="A16" s="12">
        <v>44620</v>
      </c>
      <c r="B16" s="13">
        <v>14</v>
      </c>
      <c r="C16" s="14" t="s">
        <v>43</v>
      </c>
      <c r="D16" s="16" t="s">
        <v>13</v>
      </c>
      <c r="E16" s="14" t="s">
        <v>86</v>
      </c>
      <c r="F16" s="14" t="s">
        <v>44</v>
      </c>
      <c r="G16" s="13">
        <v>30</v>
      </c>
      <c r="H16" s="15">
        <v>36.67</v>
      </c>
    </row>
    <row r="17" spans="1:8" x14ac:dyDescent="0.3">
      <c r="A17" s="12">
        <v>44651</v>
      </c>
      <c r="B17" s="13">
        <v>15</v>
      </c>
      <c r="C17" s="14" t="s">
        <v>45</v>
      </c>
      <c r="D17" s="14" t="s">
        <v>17</v>
      </c>
      <c r="E17" s="14" t="s">
        <v>18</v>
      </c>
      <c r="F17" s="14" t="s">
        <v>46</v>
      </c>
      <c r="G17" s="13">
        <v>35</v>
      </c>
      <c r="H17" s="15">
        <v>34.29</v>
      </c>
    </row>
    <row r="18" spans="1:8" x14ac:dyDescent="0.3">
      <c r="A18" s="12">
        <v>44681</v>
      </c>
      <c r="B18" s="13">
        <v>16</v>
      </c>
      <c r="C18" s="14" t="s">
        <v>47</v>
      </c>
      <c r="D18" s="16" t="s">
        <v>17</v>
      </c>
      <c r="E18" s="14" t="s">
        <v>23</v>
      </c>
      <c r="F18" s="14" t="s">
        <v>48</v>
      </c>
      <c r="G18" s="13">
        <v>0</v>
      </c>
      <c r="H18" s="14" t="s">
        <v>20</v>
      </c>
    </row>
    <row r="19" spans="1:8" x14ac:dyDescent="0.3">
      <c r="A19" s="12">
        <v>44712</v>
      </c>
      <c r="B19" s="13">
        <v>17</v>
      </c>
      <c r="C19" s="14" t="s">
        <v>49</v>
      </c>
      <c r="D19" s="14" t="s">
        <v>13</v>
      </c>
      <c r="E19" s="14" t="s">
        <v>10</v>
      </c>
      <c r="F19" s="14" t="s">
        <v>50</v>
      </c>
      <c r="G19" s="13">
        <v>40</v>
      </c>
      <c r="H19" s="15">
        <v>35</v>
      </c>
    </row>
    <row r="20" spans="1:8" x14ac:dyDescent="0.3">
      <c r="A20" s="12">
        <v>44742</v>
      </c>
      <c r="B20" s="13">
        <v>18</v>
      </c>
      <c r="C20" s="14" t="s">
        <v>51</v>
      </c>
      <c r="D20" s="14" t="s">
        <v>9</v>
      </c>
      <c r="E20" s="14" t="s">
        <v>86</v>
      </c>
      <c r="F20" s="14" t="s">
        <v>52</v>
      </c>
      <c r="G20" s="13">
        <v>45</v>
      </c>
      <c r="H20" s="15">
        <v>33.33</v>
      </c>
    </row>
    <row r="21" spans="1:8" x14ac:dyDescent="0.3">
      <c r="A21" s="12">
        <v>44773</v>
      </c>
      <c r="B21" s="13">
        <v>19</v>
      </c>
      <c r="C21" s="14" t="s">
        <v>53</v>
      </c>
      <c r="D21" s="14" t="s">
        <v>17</v>
      </c>
      <c r="E21" s="14" t="s">
        <v>18</v>
      </c>
      <c r="F21" s="14" t="s">
        <v>54</v>
      </c>
      <c r="G21" s="13">
        <v>50</v>
      </c>
      <c r="H21" s="15">
        <v>32</v>
      </c>
    </row>
    <row r="22" spans="1:8" x14ac:dyDescent="0.3">
      <c r="A22" s="12">
        <v>44804</v>
      </c>
      <c r="B22" s="13">
        <v>20</v>
      </c>
      <c r="C22" s="14" t="s">
        <v>55</v>
      </c>
      <c r="D22" s="14" t="s">
        <v>22</v>
      </c>
      <c r="E22" s="14" t="s">
        <v>23</v>
      </c>
      <c r="F22" s="14" t="s">
        <v>56</v>
      </c>
      <c r="G22" s="13">
        <v>55</v>
      </c>
      <c r="H22" s="15">
        <v>30.91</v>
      </c>
    </row>
    <row r="23" spans="1:8" x14ac:dyDescent="0.3">
      <c r="A23" s="12">
        <v>44834</v>
      </c>
      <c r="B23" s="13">
        <v>21</v>
      </c>
      <c r="C23" s="14" t="s">
        <v>57</v>
      </c>
      <c r="D23" s="14" t="s">
        <v>13</v>
      </c>
      <c r="E23" s="14" t="s">
        <v>10</v>
      </c>
      <c r="F23" s="14" t="s">
        <v>58</v>
      </c>
      <c r="G23" s="13">
        <v>60</v>
      </c>
      <c r="H23" s="15">
        <v>30</v>
      </c>
    </row>
    <row r="24" spans="1:8" x14ac:dyDescent="0.3">
      <c r="A24" s="12">
        <v>44865</v>
      </c>
      <c r="B24" s="13">
        <v>22</v>
      </c>
      <c r="C24" s="14" t="s">
        <v>59</v>
      </c>
      <c r="D24" s="14" t="s">
        <v>9</v>
      </c>
      <c r="E24" s="14" t="s">
        <v>86</v>
      </c>
      <c r="F24" s="14" t="s">
        <v>60</v>
      </c>
      <c r="G24" s="13">
        <v>0</v>
      </c>
      <c r="H24" s="14" t="s">
        <v>20</v>
      </c>
    </row>
    <row r="25" spans="1:8" x14ac:dyDescent="0.3">
      <c r="A25" s="12">
        <v>44895</v>
      </c>
      <c r="B25" s="13">
        <v>23</v>
      </c>
      <c r="C25" s="14" t="s">
        <v>61</v>
      </c>
      <c r="D25" s="14" t="s">
        <v>17</v>
      </c>
      <c r="E25" s="14" t="s">
        <v>18</v>
      </c>
      <c r="F25" s="14" t="s">
        <v>62</v>
      </c>
      <c r="G25" s="13">
        <v>65</v>
      </c>
      <c r="H25" s="15">
        <v>30.77</v>
      </c>
    </row>
    <row r="26" spans="1:8" x14ac:dyDescent="0.3">
      <c r="A26" s="12">
        <v>44926</v>
      </c>
      <c r="B26" s="13">
        <v>24</v>
      </c>
      <c r="C26" s="14" t="s">
        <v>63</v>
      </c>
      <c r="D26" s="14" t="s">
        <v>22</v>
      </c>
      <c r="E26" s="14" t="s">
        <v>23</v>
      </c>
      <c r="F26" s="14" t="s">
        <v>64</v>
      </c>
      <c r="G26" s="13">
        <v>70</v>
      </c>
      <c r="H26" s="15">
        <v>30</v>
      </c>
    </row>
    <row r="27" spans="1:8" x14ac:dyDescent="0.3">
      <c r="A27" s="12">
        <v>44957</v>
      </c>
      <c r="B27" s="13">
        <v>25</v>
      </c>
      <c r="C27" s="14" t="s">
        <v>65</v>
      </c>
      <c r="D27" s="14" t="s">
        <v>66</v>
      </c>
      <c r="E27" s="14" t="s">
        <v>67</v>
      </c>
      <c r="F27" s="14" t="s">
        <v>68</v>
      </c>
      <c r="G27" s="13">
        <v>75</v>
      </c>
      <c r="H27" s="15">
        <v>29.33</v>
      </c>
    </row>
    <row r="28" spans="1:8" x14ac:dyDescent="0.3">
      <c r="A28" s="12">
        <v>44985</v>
      </c>
      <c r="B28" s="13">
        <v>26</v>
      </c>
      <c r="C28" s="14" t="s">
        <v>69</v>
      </c>
      <c r="D28" s="14" t="s">
        <v>66</v>
      </c>
      <c r="E28" s="14" t="s">
        <v>70</v>
      </c>
      <c r="F28" s="14" t="s">
        <v>71</v>
      </c>
      <c r="G28" s="13">
        <v>80</v>
      </c>
      <c r="H28" s="15">
        <v>28.75</v>
      </c>
    </row>
    <row r="29" spans="1:8" x14ac:dyDescent="0.3">
      <c r="A29" s="12">
        <v>45016</v>
      </c>
      <c r="B29" s="13">
        <v>27</v>
      </c>
      <c r="C29" s="14" t="s">
        <v>41</v>
      </c>
      <c r="D29" s="14" t="s">
        <v>13</v>
      </c>
      <c r="E29" s="14" t="s">
        <v>72</v>
      </c>
      <c r="F29" s="14" t="s">
        <v>73</v>
      </c>
      <c r="G29" s="13">
        <v>0</v>
      </c>
      <c r="H29" s="14" t="s">
        <v>20</v>
      </c>
    </row>
    <row r="30" spans="1:8" x14ac:dyDescent="0.3">
      <c r="A30" s="12">
        <v>45046</v>
      </c>
      <c r="B30" s="13">
        <v>28</v>
      </c>
      <c r="C30" s="14" t="s">
        <v>39</v>
      </c>
      <c r="D30" s="14" t="s">
        <v>22</v>
      </c>
      <c r="E30" s="14" t="s">
        <v>74</v>
      </c>
      <c r="F30" s="14" t="s">
        <v>75</v>
      </c>
      <c r="G30" s="13">
        <v>85</v>
      </c>
      <c r="H30" s="15">
        <v>29.41</v>
      </c>
    </row>
    <row r="31" spans="1:8" x14ac:dyDescent="0.3">
      <c r="A31" s="14" t="s">
        <v>89</v>
      </c>
      <c r="B31" s="13"/>
      <c r="C31" s="14"/>
      <c r="D31" s="14"/>
      <c r="E31" s="14"/>
      <c r="F31" s="14"/>
      <c r="G31" s="13"/>
      <c r="H31" s="15">
        <f>SUBTOTAL(104,Table1[Price Per Unit])</f>
        <v>160</v>
      </c>
    </row>
  </sheetData>
  <conditionalFormatting sqref="B2:B30">
    <cfRule type="duplicateValues" dxfId="81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M17" sqref="M17"/>
    </sheetView>
  </sheetViews>
  <sheetFormatPr defaultRowHeight="14.4" x14ac:dyDescent="0.3"/>
  <sheetData>
    <row r="1" spans="1:11" ht="39.6" x14ac:dyDescent="0.3">
      <c r="A1" s="5" t="s">
        <v>90</v>
      </c>
      <c r="B1" s="5"/>
      <c r="C1" s="5"/>
      <c r="D1" s="5"/>
      <c r="E1" s="5"/>
      <c r="F1" s="5"/>
      <c r="G1" s="17"/>
      <c r="H1" s="5"/>
      <c r="I1" s="5"/>
      <c r="K1" s="31" t="s">
        <v>107</v>
      </c>
    </row>
    <row r="2" spans="1:11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8" t="s">
        <v>6</v>
      </c>
      <c r="H2" s="10" t="s">
        <v>7</v>
      </c>
      <c r="I2" s="9" t="s">
        <v>91</v>
      </c>
      <c r="K2" s="32"/>
    </row>
    <row r="3" spans="1:11" x14ac:dyDescent="0.3">
      <c r="A3" s="12">
        <v>44227</v>
      </c>
      <c r="B3" s="13">
        <v>1</v>
      </c>
      <c r="C3" s="14" t="s">
        <v>80</v>
      </c>
      <c r="D3" s="14" t="s">
        <v>9</v>
      </c>
      <c r="E3" s="14" t="s">
        <v>10</v>
      </c>
      <c r="F3" s="14" t="s">
        <v>11</v>
      </c>
      <c r="G3" s="19">
        <v>10</v>
      </c>
      <c r="H3" s="15">
        <v>20</v>
      </c>
      <c r="I3" s="20">
        <f>IFERROR( Table134[[#This Row],[Quantity]]*Table134[[#This Row],[Price Per Unit]], "")</f>
        <v>200</v>
      </c>
      <c r="K3" s="32" t="s">
        <v>108</v>
      </c>
    </row>
    <row r="4" spans="1:11" x14ac:dyDescent="0.3">
      <c r="A4" s="12">
        <v>44255</v>
      </c>
      <c r="B4" s="13">
        <v>2</v>
      </c>
      <c r="C4" s="14" t="s">
        <v>12</v>
      </c>
      <c r="D4" s="14" t="s">
        <v>13</v>
      </c>
      <c r="E4" s="14" t="s">
        <v>86</v>
      </c>
      <c r="F4" s="14" t="s">
        <v>15</v>
      </c>
      <c r="G4" s="19">
        <v>15</v>
      </c>
      <c r="H4" s="15">
        <v>10</v>
      </c>
      <c r="I4" s="20">
        <f>IFERROR( Table134[[#This Row],[Quantity]]*Table134[[#This Row],[Price Per Unit]], "")</f>
        <v>150</v>
      </c>
      <c r="K4" s="32"/>
    </row>
    <row r="5" spans="1:11" x14ac:dyDescent="0.3">
      <c r="A5" s="12">
        <v>44286</v>
      </c>
      <c r="B5" s="13">
        <v>3</v>
      </c>
      <c r="C5" s="14" t="s">
        <v>81</v>
      </c>
      <c r="D5" s="14" t="s">
        <v>17</v>
      </c>
      <c r="E5" s="14" t="s">
        <v>18</v>
      </c>
      <c r="F5" s="14" t="s">
        <v>19</v>
      </c>
      <c r="G5" s="19">
        <v>0</v>
      </c>
      <c r="H5" s="14" t="s">
        <v>20</v>
      </c>
      <c r="I5" s="20" t="str">
        <f>IFERROR( Table134[[#This Row],[Quantity]]*Table134[[#This Row],[Price Per Unit]], "")</f>
        <v/>
      </c>
      <c r="K5" s="32" t="s">
        <v>109</v>
      </c>
    </row>
    <row r="6" spans="1:11" x14ac:dyDescent="0.3">
      <c r="A6" s="12">
        <v>44316</v>
      </c>
      <c r="B6" s="13">
        <v>4</v>
      </c>
      <c r="C6" s="14" t="s">
        <v>82</v>
      </c>
      <c r="D6" s="14" t="s">
        <v>22</v>
      </c>
      <c r="E6" s="14" t="s">
        <v>23</v>
      </c>
      <c r="F6" s="14" t="s">
        <v>24</v>
      </c>
      <c r="G6" s="19">
        <v>25</v>
      </c>
      <c r="H6" s="15">
        <v>10</v>
      </c>
      <c r="I6" s="20">
        <f>IFERROR( Table134[[#This Row],[Quantity]]*Table134[[#This Row],[Price Per Unit]], "")</f>
        <v>250</v>
      </c>
    </row>
    <row r="7" spans="1:11" x14ac:dyDescent="0.3">
      <c r="A7" s="12">
        <v>44347</v>
      </c>
      <c r="B7" s="13">
        <v>5</v>
      </c>
      <c r="C7" s="14" t="s">
        <v>25</v>
      </c>
      <c r="D7" s="14" t="s">
        <v>13</v>
      </c>
      <c r="E7" s="14" t="s">
        <v>10</v>
      </c>
      <c r="F7" s="14" t="s">
        <v>26</v>
      </c>
      <c r="G7" s="19">
        <v>30</v>
      </c>
      <c r="H7" s="15">
        <v>16.670000000000002</v>
      </c>
      <c r="I7" s="20">
        <f>IFERROR( Table134[[#This Row],[Quantity]]*Table134[[#This Row],[Price Per Unit]], "")</f>
        <v>500.1</v>
      </c>
    </row>
    <row r="8" spans="1:11" x14ac:dyDescent="0.3">
      <c r="A8" s="12">
        <v>44377</v>
      </c>
      <c r="B8" s="13">
        <v>6</v>
      </c>
      <c r="C8" s="14" t="s">
        <v>83</v>
      </c>
      <c r="D8" s="16" t="s">
        <v>84</v>
      </c>
      <c r="E8" s="14" t="s">
        <v>86</v>
      </c>
      <c r="F8" s="14" t="s">
        <v>28</v>
      </c>
      <c r="G8" s="19">
        <v>0</v>
      </c>
      <c r="H8" s="14" t="s">
        <v>20</v>
      </c>
      <c r="I8" s="20" t="str">
        <f>IFERROR( Table134[[#This Row],[Quantity]]*Table134[[#This Row],[Price Per Unit]], "")</f>
        <v/>
      </c>
    </row>
    <row r="9" spans="1:11" x14ac:dyDescent="0.3">
      <c r="A9" s="12">
        <v>44408</v>
      </c>
      <c r="B9" s="13">
        <v>7</v>
      </c>
      <c r="C9" s="14" t="s">
        <v>29</v>
      </c>
      <c r="D9" s="14" t="s">
        <v>17</v>
      </c>
      <c r="E9" s="14" t="s">
        <v>18</v>
      </c>
      <c r="F9" s="14" t="s">
        <v>30</v>
      </c>
      <c r="G9" s="19">
        <v>35</v>
      </c>
      <c r="H9" s="15">
        <v>10</v>
      </c>
      <c r="I9" s="20">
        <f>IFERROR( Table134[[#This Row],[Quantity]]*Table134[[#This Row],[Price Per Unit]], "")</f>
        <v>350</v>
      </c>
    </row>
    <row r="10" spans="1:11" x14ac:dyDescent="0.3">
      <c r="A10" s="12">
        <v>44439</v>
      </c>
      <c r="B10" s="13">
        <v>8</v>
      </c>
      <c r="C10" s="14" t="s">
        <v>31</v>
      </c>
      <c r="D10" s="14" t="s">
        <v>22</v>
      </c>
      <c r="E10" s="14" t="s">
        <v>23</v>
      </c>
      <c r="F10" s="14" t="s">
        <v>32</v>
      </c>
      <c r="G10" s="19">
        <v>40</v>
      </c>
      <c r="H10" s="15">
        <v>15</v>
      </c>
      <c r="I10" s="20">
        <f>IFERROR( Table134[[#This Row],[Quantity]]*Table134[[#This Row],[Price Per Unit]], "")</f>
        <v>600</v>
      </c>
    </row>
    <row r="11" spans="1:11" x14ac:dyDescent="0.3">
      <c r="A11" s="12">
        <v>44469</v>
      </c>
      <c r="B11" s="13">
        <v>9</v>
      </c>
      <c r="C11" s="14" t="s">
        <v>33</v>
      </c>
      <c r="D11" s="14" t="s">
        <v>13</v>
      </c>
      <c r="E11" s="14" t="s">
        <v>10</v>
      </c>
      <c r="F11" s="14" t="s">
        <v>34</v>
      </c>
      <c r="G11" s="19">
        <v>45</v>
      </c>
      <c r="H11" s="15">
        <v>12.22</v>
      </c>
      <c r="I11" s="20">
        <f>IFERROR( Table134[[#This Row],[Quantity]]*Table134[[#This Row],[Price Per Unit]], "")</f>
        <v>549.9</v>
      </c>
    </row>
    <row r="12" spans="1:11" x14ac:dyDescent="0.3">
      <c r="A12" s="12">
        <v>44500</v>
      </c>
      <c r="B12" s="13">
        <v>10</v>
      </c>
      <c r="C12" s="14" t="s">
        <v>35</v>
      </c>
      <c r="D12" s="14" t="s">
        <v>9</v>
      </c>
      <c r="E12" s="14" t="s">
        <v>86</v>
      </c>
      <c r="F12" s="14" t="s">
        <v>36</v>
      </c>
      <c r="G12" s="19">
        <v>50</v>
      </c>
      <c r="H12" s="15">
        <v>14</v>
      </c>
      <c r="I12" s="20">
        <f>IFERROR( Table134[[#This Row],[Quantity]]*Table134[[#This Row],[Price Per Unit]], "")</f>
        <v>700</v>
      </c>
    </row>
    <row r="13" spans="1:11" x14ac:dyDescent="0.3">
      <c r="A13" s="12">
        <v>44530</v>
      </c>
      <c r="B13" s="13">
        <v>11</v>
      </c>
      <c r="C13" s="14" t="s">
        <v>37</v>
      </c>
      <c r="D13" s="14" t="s">
        <v>17</v>
      </c>
      <c r="E13" s="14" t="s">
        <v>18</v>
      </c>
      <c r="F13" s="14" t="s">
        <v>38</v>
      </c>
      <c r="G13" s="19">
        <v>5</v>
      </c>
      <c r="H13" s="15">
        <v>160</v>
      </c>
      <c r="I13" s="20">
        <f>IFERROR( Table134[[#This Row],[Quantity]]*Table134[[#This Row],[Price Per Unit]], "")</f>
        <v>800</v>
      </c>
    </row>
    <row r="14" spans="1:11" x14ac:dyDescent="0.3">
      <c r="A14" s="12">
        <v>44561</v>
      </c>
      <c r="B14" s="13">
        <v>12</v>
      </c>
      <c r="C14" s="14" t="s">
        <v>39</v>
      </c>
      <c r="D14" s="14" t="s">
        <v>22</v>
      </c>
      <c r="E14" s="14" t="s">
        <v>23</v>
      </c>
      <c r="F14" s="14" t="s">
        <v>40</v>
      </c>
      <c r="G14" s="19">
        <v>20</v>
      </c>
      <c r="H14" s="15">
        <v>45</v>
      </c>
      <c r="I14" s="20">
        <f>IFERROR( Table134[[#This Row],[Quantity]]*Table134[[#This Row],[Price Per Unit]], "")</f>
        <v>900</v>
      </c>
    </row>
    <row r="15" spans="1:11" x14ac:dyDescent="0.3">
      <c r="A15" s="12">
        <v>44592</v>
      </c>
      <c r="B15" s="13">
        <v>13</v>
      </c>
      <c r="C15" s="14" t="s">
        <v>41</v>
      </c>
      <c r="D15" s="14" t="s">
        <v>13</v>
      </c>
      <c r="E15" s="14" t="s">
        <v>10</v>
      </c>
      <c r="F15" s="14" t="s">
        <v>42</v>
      </c>
      <c r="G15" s="19">
        <v>0</v>
      </c>
      <c r="H15" s="14" t="s">
        <v>20</v>
      </c>
      <c r="I15" s="20" t="str">
        <f>IFERROR( Table134[[#This Row],[Quantity]]*Table134[[#This Row],[Price Per Unit]], "")</f>
        <v/>
      </c>
    </row>
    <row r="16" spans="1:11" x14ac:dyDescent="0.3">
      <c r="A16" s="12">
        <v>44620</v>
      </c>
      <c r="B16" s="13">
        <v>14</v>
      </c>
      <c r="C16" s="14" t="s">
        <v>43</v>
      </c>
      <c r="D16" s="16" t="s">
        <v>84</v>
      </c>
      <c r="E16" s="14" t="s">
        <v>86</v>
      </c>
      <c r="F16" s="14" t="s">
        <v>44</v>
      </c>
      <c r="G16" s="19">
        <v>30</v>
      </c>
      <c r="H16" s="15">
        <v>36.67</v>
      </c>
      <c r="I16" s="20">
        <f>IFERROR( Table134[[#This Row],[Quantity]]*Table134[[#This Row],[Price Per Unit]], "")</f>
        <v>1100.1000000000001</v>
      </c>
    </row>
    <row r="17" spans="1:9" x14ac:dyDescent="0.3">
      <c r="A17" s="12">
        <v>44651</v>
      </c>
      <c r="B17" s="13">
        <v>15</v>
      </c>
      <c r="C17" s="14" t="s">
        <v>45</v>
      </c>
      <c r="D17" s="14" t="s">
        <v>17</v>
      </c>
      <c r="E17" s="14" t="s">
        <v>18</v>
      </c>
      <c r="F17" s="14" t="s">
        <v>46</v>
      </c>
      <c r="G17" s="19">
        <v>35</v>
      </c>
      <c r="H17" s="15">
        <v>34.29</v>
      </c>
      <c r="I17" s="20">
        <f>IFERROR( Table134[[#This Row],[Quantity]]*Table134[[#This Row],[Price Per Unit]], "")</f>
        <v>1200.1499999999999</v>
      </c>
    </row>
    <row r="18" spans="1:9" x14ac:dyDescent="0.3">
      <c r="A18" s="12">
        <v>44681</v>
      </c>
      <c r="B18" s="13">
        <v>16</v>
      </c>
      <c r="C18" s="14" t="s">
        <v>47</v>
      </c>
      <c r="D18" s="16" t="s">
        <v>84</v>
      </c>
      <c r="E18" s="14" t="s">
        <v>23</v>
      </c>
      <c r="F18" s="14" t="s">
        <v>48</v>
      </c>
      <c r="G18" s="19">
        <v>0</v>
      </c>
      <c r="H18" s="14" t="s">
        <v>20</v>
      </c>
      <c r="I18" s="20" t="str">
        <f>IFERROR( Table134[[#This Row],[Quantity]]*Table134[[#This Row],[Price Per Unit]], "")</f>
        <v/>
      </c>
    </row>
    <row r="19" spans="1:9" x14ac:dyDescent="0.3">
      <c r="A19" s="12">
        <v>44712</v>
      </c>
      <c r="B19" s="13">
        <v>17</v>
      </c>
      <c r="C19" s="14" t="s">
        <v>49</v>
      </c>
      <c r="D19" s="14" t="s">
        <v>13</v>
      </c>
      <c r="E19" s="14" t="s">
        <v>10</v>
      </c>
      <c r="F19" s="14" t="s">
        <v>50</v>
      </c>
      <c r="G19" s="19">
        <v>40</v>
      </c>
      <c r="H19" s="15">
        <v>35</v>
      </c>
      <c r="I19" s="20">
        <f>IFERROR( Table134[[#This Row],[Quantity]]*Table134[[#This Row],[Price Per Unit]], "")</f>
        <v>1400</v>
      </c>
    </row>
    <row r="20" spans="1:9" x14ac:dyDescent="0.3">
      <c r="A20" s="12">
        <v>44742</v>
      </c>
      <c r="B20" s="13">
        <v>18</v>
      </c>
      <c r="C20" s="14" t="s">
        <v>51</v>
      </c>
      <c r="D20" s="14" t="s">
        <v>9</v>
      </c>
      <c r="E20" s="14" t="s">
        <v>86</v>
      </c>
      <c r="F20" s="14" t="s">
        <v>52</v>
      </c>
      <c r="G20" s="19">
        <v>45</v>
      </c>
      <c r="H20" s="15">
        <v>33.33</v>
      </c>
      <c r="I20" s="20">
        <f>IFERROR( Table134[[#This Row],[Quantity]]*Table134[[#This Row],[Price Per Unit]], "")</f>
        <v>1499.85</v>
      </c>
    </row>
    <row r="21" spans="1:9" x14ac:dyDescent="0.3">
      <c r="A21" s="12">
        <v>44773</v>
      </c>
      <c r="B21" s="13">
        <v>19</v>
      </c>
      <c r="C21" s="14" t="s">
        <v>53</v>
      </c>
      <c r="D21" s="14" t="s">
        <v>17</v>
      </c>
      <c r="E21" s="14" t="s">
        <v>18</v>
      </c>
      <c r="F21" s="14" t="s">
        <v>54</v>
      </c>
      <c r="G21" s="19">
        <v>50</v>
      </c>
      <c r="H21" s="15">
        <v>32</v>
      </c>
      <c r="I21" s="20">
        <f>IFERROR( Table134[[#This Row],[Quantity]]*Table134[[#This Row],[Price Per Unit]], "")</f>
        <v>1600</v>
      </c>
    </row>
    <row r="22" spans="1:9" x14ac:dyDescent="0.3">
      <c r="A22" s="12">
        <v>44804</v>
      </c>
      <c r="B22" s="13">
        <v>20</v>
      </c>
      <c r="C22" s="14" t="s">
        <v>55</v>
      </c>
      <c r="D22" s="14" t="s">
        <v>22</v>
      </c>
      <c r="E22" s="14" t="s">
        <v>23</v>
      </c>
      <c r="F22" s="14" t="s">
        <v>56</v>
      </c>
      <c r="G22" s="19">
        <v>55</v>
      </c>
      <c r="H22" s="15">
        <v>30.91</v>
      </c>
      <c r="I22" s="20">
        <f>IFERROR( Table134[[#This Row],[Quantity]]*Table134[[#This Row],[Price Per Unit]], "")</f>
        <v>1700.05</v>
      </c>
    </row>
    <row r="23" spans="1:9" x14ac:dyDescent="0.3">
      <c r="A23" s="12">
        <v>44834</v>
      </c>
      <c r="B23" s="13">
        <v>21</v>
      </c>
      <c r="C23" s="14" t="s">
        <v>57</v>
      </c>
      <c r="D23" s="14" t="s">
        <v>13</v>
      </c>
      <c r="E23" s="14" t="s">
        <v>10</v>
      </c>
      <c r="F23" s="14" t="s">
        <v>58</v>
      </c>
      <c r="G23" s="19">
        <v>60</v>
      </c>
      <c r="H23" s="15">
        <v>30</v>
      </c>
      <c r="I23" s="20">
        <f>IFERROR( Table134[[#This Row],[Quantity]]*Table134[[#This Row],[Price Per Unit]], "")</f>
        <v>1800</v>
      </c>
    </row>
    <row r="24" spans="1:9" x14ac:dyDescent="0.3">
      <c r="A24" s="12">
        <v>44865</v>
      </c>
      <c r="B24" s="13">
        <v>22</v>
      </c>
      <c r="C24" s="14" t="s">
        <v>59</v>
      </c>
      <c r="D24" s="14" t="s">
        <v>9</v>
      </c>
      <c r="E24" s="14" t="s">
        <v>86</v>
      </c>
      <c r="F24" s="14" t="s">
        <v>60</v>
      </c>
      <c r="G24" s="19">
        <v>0</v>
      </c>
      <c r="H24" s="14" t="s">
        <v>20</v>
      </c>
      <c r="I24" s="20" t="str">
        <f>IFERROR( Table134[[#This Row],[Quantity]]*Table134[[#This Row],[Price Per Unit]], "")</f>
        <v/>
      </c>
    </row>
    <row r="25" spans="1:9" x14ac:dyDescent="0.3">
      <c r="A25" s="12">
        <v>44895</v>
      </c>
      <c r="B25" s="13">
        <v>23</v>
      </c>
      <c r="C25" s="14" t="s">
        <v>61</v>
      </c>
      <c r="D25" s="14" t="s">
        <v>17</v>
      </c>
      <c r="E25" s="14" t="s">
        <v>18</v>
      </c>
      <c r="F25" s="14" t="s">
        <v>62</v>
      </c>
      <c r="G25" s="19">
        <v>65</v>
      </c>
      <c r="H25" s="15">
        <v>30.77</v>
      </c>
      <c r="I25" s="20">
        <f>IFERROR( Table134[[#This Row],[Quantity]]*Table134[[#This Row],[Price Per Unit]], "")</f>
        <v>2000.05</v>
      </c>
    </row>
    <row r="26" spans="1:9" x14ac:dyDescent="0.3">
      <c r="A26" s="12">
        <v>44926</v>
      </c>
      <c r="B26" s="13">
        <v>24</v>
      </c>
      <c r="C26" s="14" t="s">
        <v>63</v>
      </c>
      <c r="D26" s="14" t="s">
        <v>22</v>
      </c>
      <c r="E26" s="14" t="s">
        <v>23</v>
      </c>
      <c r="F26" s="14" t="s">
        <v>64</v>
      </c>
      <c r="G26" s="19">
        <v>70</v>
      </c>
      <c r="H26" s="15">
        <v>30</v>
      </c>
      <c r="I26" s="20">
        <f>IFERROR( Table134[[#This Row],[Quantity]]*Table134[[#This Row],[Price Per Unit]], "")</f>
        <v>2100</v>
      </c>
    </row>
    <row r="27" spans="1:9" x14ac:dyDescent="0.3">
      <c r="A27" s="12">
        <v>44957</v>
      </c>
      <c r="B27" s="13">
        <v>25</v>
      </c>
      <c r="C27" s="14" t="s">
        <v>65</v>
      </c>
      <c r="D27" s="14" t="s">
        <v>66</v>
      </c>
      <c r="E27" s="14" t="s">
        <v>67</v>
      </c>
      <c r="F27" s="14" t="s">
        <v>68</v>
      </c>
      <c r="G27" s="19">
        <v>75</v>
      </c>
      <c r="H27" s="15">
        <v>29.33</v>
      </c>
      <c r="I27" s="20">
        <f>IFERROR( Table134[[#This Row],[Quantity]]*Table134[[#This Row],[Price Per Unit]], "")</f>
        <v>2199.75</v>
      </c>
    </row>
    <row r="28" spans="1:9" x14ac:dyDescent="0.3">
      <c r="A28" s="12">
        <v>44985</v>
      </c>
      <c r="B28" s="13">
        <v>26</v>
      </c>
      <c r="C28" s="14" t="s">
        <v>69</v>
      </c>
      <c r="D28" s="14" t="s">
        <v>66</v>
      </c>
      <c r="E28" s="14" t="s">
        <v>70</v>
      </c>
      <c r="F28" s="14" t="s">
        <v>71</v>
      </c>
      <c r="G28" s="19">
        <v>80</v>
      </c>
      <c r="H28" s="15">
        <v>28.75</v>
      </c>
      <c r="I28" s="20">
        <f>IFERROR( Table134[[#This Row],[Quantity]]*Table134[[#This Row],[Price Per Unit]], "")</f>
        <v>2300</v>
      </c>
    </row>
    <row r="29" spans="1:9" x14ac:dyDescent="0.3">
      <c r="A29" s="12">
        <v>45016</v>
      </c>
      <c r="B29" s="13">
        <v>27</v>
      </c>
      <c r="C29" s="14" t="s">
        <v>41</v>
      </c>
      <c r="D29" s="14" t="s">
        <v>13</v>
      </c>
      <c r="E29" s="14" t="s">
        <v>72</v>
      </c>
      <c r="F29" s="14" t="s">
        <v>73</v>
      </c>
      <c r="G29" s="19">
        <v>0</v>
      </c>
      <c r="H29" s="14" t="s">
        <v>20</v>
      </c>
      <c r="I29" s="20" t="str">
        <f>IFERROR( Table134[[#This Row],[Quantity]]*Table134[[#This Row],[Price Per Unit]], "")</f>
        <v/>
      </c>
    </row>
    <row r="30" spans="1:9" x14ac:dyDescent="0.3">
      <c r="A30" s="12">
        <v>45046</v>
      </c>
      <c r="B30" s="13">
        <v>28</v>
      </c>
      <c r="C30" s="14" t="s">
        <v>39</v>
      </c>
      <c r="D30" s="14" t="s">
        <v>22</v>
      </c>
      <c r="E30" s="14" t="s">
        <v>74</v>
      </c>
      <c r="F30" s="14" t="s">
        <v>75</v>
      </c>
      <c r="G30" s="19">
        <v>85</v>
      </c>
      <c r="H30" s="15">
        <v>29.41</v>
      </c>
      <c r="I30" s="20">
        <f>IFERROR( Table134[[#This Row],[Quantity]]*Table134[[#This Row],[Price Per Unit]], "")</f>
        <v>2499.85</v>
      </c>
    </row>
    <row r="31" spans="1:9" x14ac:dyDescent="0.3">
      <c r="A31" s="14" t="s">
        <v>89</v>
      </c>
      <c r="B31" s="13"/>
      <c r="C31" s="14"/>
      <c r="D31" s="14"/>
      <c r="E31" s="14"/>
      <c r="F31" s="14"/>
      <c r="G31" s="19"/>
      <c r="H31" s="15">
        <f>SUBTOTAL(104,Table134[Price Per Unit])</f>
        <v>160</v>
      </c>
      <c r="I31" s="15">
        <f>SUBTOTAL(109,Table134[Sales])</f>
        <v>26399.8</v>
      </c>
    </row>
  </sheetData>
  <conditionalFormatting sqref="B2:B30">
    <cfRule type="duplicateValues" dxfId="62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K1" sqref="K1:K9"/>
    </sheetView>
  </sheetViews>
  <sheetFormatPr defaultRowHeight="14.4" x14ac:dyDescent="0.3"/>
  <sheetData>
    <row r="1" spans="1:11" ht="39.6" x14ac:dyDescent="0.3">
      <c r="A1" s="21" t="s">
        <v>92</v>
      </c>
      <c r="B1" s="5"/>
      <c r="C1" s="5"/>
      <c r="D1" s="5"/>
      <c r="E1" s="5"/>
      <c r="F1" s="5"/>
      <c r="G1" s="17"/>
      <c r="H1" s="22"/>
      <c r="I1" s="22"/>
      <c r="K1" s="31" t="s">
        <v>110</v>
      </c>
    </row>
    <row r="2" spans="1:11" x14ac:dyDescent="0.3">
      <c r="A2" s="23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8" t="s">
        <v>6</v>
      </c>
      <c r="H2" s="24" t="s">
        <v>7</v>
      </c>
      <c r="I2" s="25" t="s">
        <v>91</v>
      </c>
      <c r="K2" s="32"/>
    </row>
    <row r="3" spans="1:11" x14ac:dyDescent="0.3">
      <c r="A3" s="26">
        <v>44227</v>
      </c>
      <c r="B3" s="13">
        <v>1</v>
      </c>
      <c r="C3" s="14" t="s">
        <v>80</v>
      </c>
      <c r="D3" s="14" t="s">
        <v>9</v>
      </c>
      <c r="E3" s="14" t="s">
        <v>10</v>
      </c>
      <c r="F3" s="14" t="s">
        <v>11</v>
      </c>
      <c r="G3" s="19">
        <v>10</v>
      </c>
      <c r="H3" s="27">
        <v>20</v>
      </c>
      <c r="I3" s="28">
        <f>IFERROR( Table1345[[#This Row],[Quantity]]*Table1345[[#This Row],[Price Per Unit]], "")</f>
        <v>200</v>
      </c>
      <c r="K3" s="32" t="s">
        <v>111</v>
      </c>
    </row>
    <row r="4" spans="1:11" x14ac:dyDescent="0.3">
      <c r="A4" s="26">
        <v>44255</v>
      </c>
      <c r="B4" s="13">
        <v>2</v>
      </c>
      <c r="C4" s="14" t="s">
        <v>12</v>
      </c>
      <c r="D4" s="14" t="s">
        <v>13</v>
      </c>
      <c r="E4" s="14" t="s">
        <v>86</v>
      </c>
      <c r="F4" s="14" t="s">
        <v>15</v>
      </c>
      <c r="G4" s="19">
        <v>15</v>
      </c>
      <c r="H4" s="27">
        <v>10</v>
      </c>
      <c r="I4" s="28">
        <f>IFERROR( Table1345[[#This Row],[Quantity]]*Table1345[[#This Row],[Price Per Unit]], "")</f>
        <v>150</v>
      </c>
      <c r="K4" s="32"/>
    </row>
    <row r="5" spans="1:11" x14ac:dyDescent="0.3">
      <c r="A5" s="26">
        <v>44286</v>
      </c>
      <c r="B5" s="13">
        <v>3</v>
      </c>
      <c r="C5" s="14" t="s">
        <v>81</v>
      </c>
      <c r="D5" s="14" t="s">
        <v>17</v>
      </c>
      <c r="E5" s="14" t="s">
        <v>18</v>
      </c>
      <c r="F5" s="14" t="s">
        <v>19</v>
      </c>
      <c r="G5" s="19">
        <v>0</v>
      </c>
      <c r="H5" s="27" t="s">
        <v>20</v>
      </c>
      <c r="I5" s="28" t="str">
        <f>IFERROR( Table1345[[#This Row],[Quantity]]*Table1345[[#This Row],[Price Per Unit]], "")</f>
        <v/>
      </c>
      <c r="K5" s="32" t="s">
        <v>112</v>
      </c>
    </row>
    <row r="6" spans="1:11" x14ac:dyDescent="0.3">
      <c r="A6" s="26">
        <v>44316</v>
      </c>
      <c r="B6" s="13">
        <v>4</v>
      </c>
      <c r="C6" s="14" t="s">
        <v>82</v>
      </c>
      <c r="D6" s="14" t="s">
        <v>22</v>
      </c>
      <c r="E6" s="14" t="s">
        <v>23</v>
      </c>
      <c r="F6" s="14" t="s">
        <v>24</v>
      </c>
      <c r="G6" s="19">
        <v>25</v>
      </c>
      <c r="H6" s="27">
        <v>10</v>
      </c>
      <c r="I6" s="28">
        <f>IFERROR( Table1345[[#This Row],[Quantity]]*Table1345[[#This Row],[Price Per Unit]], "")</f>
        <v>250</v>
      </c>
      <c r="K6" s="32"/>
    </row>
    <row r="7" spans="1:11" x14ac:dyDescent="0.3">
      <c r="A7" s="26">
        <v>44347</v>
      </c>
      <c r="B7" s="13">
        <v>5</v>
      </c>
      <c r="C7" s="14" t="s">
        <v>25</v>
      </c>
      <c r="D7" s="14" t="s">
        <v>13</v>
      </c>
      <c r="E7" s="14" t="s">
        <v>10</v>
      </c>
      <c r="F7" s="14" t="s">
        <v>26</v>
      </c>
      <c r="G7" s="19">
        <v>30</v>
      </c>
      <c r="H7" s="27">
        <v>16.670000000000002</v>
      </c>
      <c r="I7" s="28">
        <f>IFERROR( Table1345[[#This Row],[Quantity]]*Table1345[[#This Row],[Price Per Unit]], "")</f>
        <v>500.1</v>
      </c>
      <c r="K7" s="32" t="s">
        <v>113</v>
      </c>
    </row>
    <row r="8" spans="1:11" x14ac:dyDescent="0.3">
      <c r="A8" s="26">
        <v>44377</v>
      </c>
      <c r="B8" s="13">
        <v>6</v>
      </c>
      <c r="C8" s="14" t="s">
        <v>83</v>
      </c>
      <c r="D8" s="16" t="s">
        <v>84</v>
      </c>
      <c r="E8" s="14" t="s">
        <v>86</v>
      </c>
      <c r="F8" s="14" t="s">
        <v>28</v>
      </c>
      <c r="G8" s="19">
        <v>0</v>
      </c>
      <c r="H8" s="27" t="s">
        <v>20</v>
      </c>
      <c r="I8" s="28" t="str">
        <f>IFERROR( Table1345[[#This Row],[Quantity]]*Table1345[[#This Row],[Price Per Unit]], "")</f>
        <v/>
      </c>
      <c r="K8" s="32"/>
    </row>
    <row r="9" spans="1:11" x14ac:dyDescent="0.3">
      <c r="A9" s="26">
        <v>44408</v>
      </c>
      <c r="B9" s="13">
        <v>7</v>
      </c>
      <c r="C9" s="14" t="s">
        <v>29</v>
      </c>
      <c r="D9" s="14" t="s">
        <v>17</v>
      </c>
      <c r="E9" s="14" t="s">
        <v>18</v>
      </c>
      <c r="F9" s="14" t="s">
        <v>30</v>
      </c>
      <c r="G9" s="19">
        <v>35</v>
      </c>
      <c r="H9" s="27">
        <v>10</v>
      </c>
      <c r="I9" s="28">
        <f>IFERROR( Table1345[[#This Row],[Quantity]]*Table1345[[#This Row],[Price Per Unit]], "")</f>
        <v>350</v>
      </c>
      <c r="K9" s="32" t="s">
        <v>114</v>
      </c>
    </row>
    <row r="10" spans="1:11" x14ac:dyDescent="0.3">
      <c r="A10" s="26">
        <v>44439</v>
      </c>
      <c r="B10" s="13">
        <v>8</v>
      </c>
      <c r="C10" s="14" t="s">
        <v>31</v>
      </c>
      <c r="D10" s="14" t="s">
        <v>22</v>
      </c>
      <c r="E10" s="14" t="s">
        <v>23</v>
      </c>
      <c r="F10" s="14" t="s">
        <v>32</v>
      </c>
      <c r="G10" s="19">
        <v>40</v>
      </c>
      <c r="H10" s="27">
        <v>15</v>
      </c>
      <c r="I10" s="28">
        <f>IFERROR( Table1345[[#This Row],[Quantity]]*Table1345[[#This Row],[Price Per Unit]], "")</f>
        <v>600</v>
      </c>
    </row>
    <row r="11" spans="1:11" x14ac:dyDescent="0.3">
      <c r="A11" s="26">
        <v>44469</v>
      </c>
      <c r="B11" s="13">
        <v>9</v>
      </c>
      <c r="C11" s="14" t="s">
        <v>33</v>
      </c>
      <c r="D11" s="14" t="s">
        <v>13</v>
      </c>
      <c r="E11" s="14" t="s">
        <v>10</v>
      </c>
      <c r="F11" s="14" t="s">
        <v>34</v>
      </c>
      <c r="G11" s="19">
        <v>45</v>
      </c>
      <c r="H11" s="27">
        <v>12.22</v>
      </c>
      <c r="I11" s="28">
        <f>IFERROR( Table1345[[#This Row],[Quantity]]*Table1345[[#This Row],[Price Per Unit]], "")</f>
        <v>549.9</v>
      </c>
    </row>
    <row r="12" spans="1:11" x14ac:dyDescent="0.3">
      <c r="A12" s="26">
        <v>44500</v>
      </c>
      <c r="B12" s="13">
        <v>10</v>
      </c>
      <c r="C12" s="14" t="s">
        <v>35</v>
      </c>
      <c r="D12" s="14" t="s">
        <v>9</v>
      </c>
      <c r="E12" s="14" t="s">
        <v>86</v>
      </c>
      <c r="F12" s="14" t="s">
        <v>36</v>
      </c>
      <c r="G12" s="19">
        <v>50</v>
      </c>
      <c r="H12" s="27">
        <v>14</v>
      </c>
      <c r="I12" s="28">
        <f>IFERROR( Table1345[[#This Row],[Quantity]]*Table1345[[#This Row],[Price Per Unit]], "")</f>
        <v>700</v>
      </c>
    </row>
    <row r="13" spans="1:11" x14ac:dyDescent="0.3">
      <c r="A13" s="26">
        <v>44530</v>
      </c>
      <c r="B13" s="13">
        <v>11</v>
      </c>
      <c r="C13" s="14" t="s">
        <v>37</v>
      </c>
      <c r="D13" s="14" t="s">
        <v>17</v>
      </c>
      <c r="E13" s="14" t="s">
        <v>18</v>
      </c>
      <c r="F13" s="14" t="s">
        <v>38</v>
      </c>
      <c r="G13" s="19">
        <v>5</v>
      </c>
      <c r="H13" s="27">
        <v>160</v>
      </c>
      <c r="I13" s="28">
        <f>IFERROR( Table1345[[#This Row],[Quantity]]*Table1345[[#This Row],[Price Per Unit]], "")</f>
        <v>800</v>
      </c>
    </row>
    <row r="14" spans="1:11" x14ac:dyDescent="0.3">
      <c r="A14" s="26">
        <v>44561</v>
      </c>
      <c r="B14" s="13">
        <v>12</v>
      </c>
      <c r="C14" s="14" t="s">
        <v>39</v>
      </c>
      <c r="D14" s="14" t="s">
        <v>22</v>
      </c>
      <c r="E14" s="14" t="s">
        <v>23</v>
      </c>
      <c r="F14" s="14" t="s">
        <v>40</v>
      </c>
      <c r="G14" s="19">
        <v>20</v>
      </c>
      <c r="H14" s="27">
        <v>45</v>
      </c>
      <c r="I14" s="28">
        <f>IFERROR( Table1345[[#This Row],[Quantity]]*Table1345[[#This Row],[Price Per Unit]], "")</f>
        <v>900</v>
      </c>
    </row>
    <row r="15" spans="1:11" x14ac:dyDescent="0.3">
      <c r="A15" s="26">
        <v>44592</v>
      </c>
      <c r="B15" s="13">
        <v>13</v>
      </c>
      <c r="C15" s="14" t="s">
        <v>41</v>
      </c>
      <c r="D15" s="14" t="s">
        <v>13</v>
      </c>
      <c r="E15" s="14" t="s">
        <v>10</v>
      </c>
      <c r="F15" s="14" t="s">
        <v>42</v>
      </c>
      <c r="G15" s="19">
        <v>0</v>
      </c>
      <c r="H15" s="27" t="s">
        <v>20</v>
      </c>
      <c r="I15" s="28" t="str">
        <f>IFERROR( Table1345[[#This Row],[Quantity]]*Table1345[[#This Row],[Price Per Unit]], "")</f>
        <v/>
      </c>
    </row>
    <row r="16" spans="1:11" x14ac:dyDescent="0.3">
      <c r="A16" s="26">
        <v>44620</v>
      </c>
      <c r="B16" s="13">
        <v>14</v>
      </c>
      <c r="C16" s="14" t="s">
        <v>43</v>
      </c>
      <c r="D16" s="16" t="s">
        <v>84</v>
      </c>
      <c r="E16" s="14" t="s">
        <v>86</v>
      </c>
      <c r="F16" s="14" t="s">
        <v>44</v>
      </c>
      <c r="G16" s="19">
        <v>30</v>
      </c>
      <c r="H16" s="27">
        <v>36.67</v>
      </c>
      <c r="I16" s="28">
        <f>IFERROR( Table1345[[#This Row],[Quantity]]*Table1345[[#This Row],[Price Per Unit]], "")</f>
        <v>1100.1000000000001</v>
      </c>
    </row>
    <row r="17" spans="1:9" x14ac:dyDescent="0.3">
      <c r="A17" s="26">
        <v>44651</v>
      </c>
      <c r="B17" s="13">
        <v>15</v>
      </c>
      <c r="C17" s="14" t="s">
        <v>45</v>
      </c>
      <c r="D17" s="14" t="s">
        <v>17</v>
      </c>
      <c r="E17" s="14" t="s">
        <v>18</v>
      </c>
      <c r="F17" s="14" t="s">
        <v>46</v>
      </c>
      <c r="G17" s="19">
        <v>35</v>
      </c>
      <c r="H17" s="27">
        <v>34.29</v>
      </c>
      <c r="I17" s="28">
        <f>IFERROR( Table1345[[#This Row],[Quantity]]*Table1345[[#This Row],[Price Per Unit]], "")</f>
        <v>1200.1499999999999</v>
      </c>
    </row>
    <row r="18" spans="1:9" x14ac:dyDescent="0.3">
      <c r="A18" s="26">
        <v>44681</v>
      </c>
      <c r="B18" s="13">
        <v>16</v>
      </c>
      <c r="C18" s="14" t="s">
        <v>47</v>
      </c>
      <c r="D18" s="16" t="s">
        <v>84</v>
      </c>
      <c r="E18" s="14" t="s">
        <v>23</v>
      </c>
      <c r="F18" s="14" t="s">
        <v>48</v>
      </c>
      <c r="G18" s="19">
        <v>0</v>
      </c>
      <c r="H18" s="27" t="s">
        <v>20</v>
      </c>
      <c r="I18" s="28" t="str">
        <f>IFERROR( Table1345[[#This Row],[Quantity]]*Table1345[[#This Row],[Price Per Unit]], "")</f>
        <v/>
      </c>
    </row>
    <row r="19" spans="1:9" x14ac:dyDescent="0.3">
      <c r="A19" s="26">
        <v>44712</v>
      </c>
      <c r="B19" s="13">
        <v>17</v>
      </c>
      <c r="C19" s="14" t="s">
        <v>49</v>
      </c>
      <c r="D19" s="14" t="s">
        <v>13</v>
      </c>
      <c r="E19" s="14" t="s">
        <v>10</v>
      </c>
      <c r="F19" s="14" t="s">
        <v>50</v>
      </c>
      <c r="G19" s="19">
        <v>40</v>
      </c>
      <c r="H19" s="27">
        <v>35</v>
      </c>
      <c r="I19" s="28">
        <f>IFERROR( Table1345[[#This Row],[Quantity]]*Table1345[[#This Row],[Price Per Unit]], "")</f>
        <v>1400</v>
      </c>
    </row>
    <row r="20" spans="1:9" x14ac:dyDescent="0.3">
      <c r="A20" s="26">
        <v>44742</v>
      </c>
      <c r="B20" s="13">
        <v>18</v>
      </c>
      <c r="C20" s="14" t="s">
        <v>51</v>
      </c>
      <c r="D20" s="14" t="s">
        <v>9</v>
      </c>
      <c r="E20" s="14" t="s">
        <v>86</v>
      </c>
      <c r="F20" s="14" t="s">
        <v>52</v>
      </c>
      <c r="G20" s="19">
        <v>45</v>
      </c>
      <c r="H20" s="27">
        <v>33.33</v>
      </c>
      <c r="I20" s="28">
        <f>IFERROR( Table1345[[#This Row],[Quantity]]*Table1345[[#This Row],[Price Per Unit]], "")</f>
        <v>1499.85</v>
      </c>
    </row>
    <row r="21" spans="1:9" x14ac:dyDescent="0.3">
      <c r="A21" s="26">
        <v>44773</v>
      </c>
      <c r="B21" s="13">
        <v>19</v>
      </c>
      <c r="C21" s="14" t="s">
        <v>53</v>
      </c>
      <c r="D21" s="14" t="s">
        <v>17</v>
      </c>
      <c r="E21" s="14" t="s">
        <v>18</v>
      </c>
      <c r="F21" s="14" t="s">
        <v>54</v>
      </c>
      <c r="G21" s="19">
        <v>50</v>
      </c>
      <c r="H21" s="27">
        <v>32</v>
      </c>
      <c r="I21" s="28">
        <f>IFERROR( Table1345[[#This Row],[Quantity]]*Table1345[[#This Row],[Price Per Unit]], "")</f>
        <v>1600</v>
      </c>
    </row>
    <row r="22" spans="1:9" x14ac:dyDescent="0.3">
      <c r="A22" s="26">
        <v>44804</v>
      </c>
      <c r="B22" s="13">
        <v>20</v>
      </c>
      <c r="C22" s="14" t="s">
        <v>55</v>
      </c>
      <c r="D22" s="14" t="s">
        <v>22</v>
      </c>
      <c r="E22" s="14" t="s">
        <v>23</v>
      </c>
      <c r="F22" s="14" t="s">
        <v>56</v>
      </c>
      <c r="G22" s="19">
        <v>55</v>
      </c>
      <c r="H22" s="27">
        <v>30.91</v>
      </c>
      <c r="I22" s="28">
        <f>IFERROR( Table1345[[#This Row],[Quantity]]*Table1345[[#This Row],[Price Per Unit]], "")</f>
        <v>1700.05</v>
      </c>
    </row>
    <row r="23" spans="1:9" x14ac:dyDescent="0.3">
      <c r="A23" s="26">
        <v>44834</v>
      </c>
      <c r="B23" s="13">
        <v>21</v>
      </c>
      <c r="C23" s="14" t="s">
        <v>57</v>
      </c>
      <c r="D23" s="14" t="s">
        <v>13</v>
      </c>
      <c r="E23" s="14" t="s">
        <v>10</v>
      </c>
      <c r="F23" s="14" t="s">
        <v>58</v>
      </c>
      <c r="G23" s="19">
        <v>60</v>
      </c>
      <c r="H23" s="27">
        <v>30</v>
      </c>
      <c r="I23" s="28">
        <f>IFERROR( Table1345[[#This Row],[Quantity]]*Table1345[[#This Row],[Price Per Unit]], "")</f>
        <v>1800</v>
      </c>
    </row>
    <row r="24" spans="1:9" x14ac:dyDescent="0.3">
      <c r="A24" s="26">
        <v>44865</v>
      </c>
      <c r="B24" s="13">
        <v>22</v>
      </c>
      <c r="C24" s="14" t="s">
        <v>59</v>
      </c>
      <c r="D24" s="14" t="s">
        <v>9</v>
      </c>
      <c r="E24" s="14" t="s">
        <v>86</v>
      </c>
      <c r="F24" s="14" t="s">
        <v>60</v>
      </c>
      <c r="G24" s="19">
        <v>0</v>
      </c>
      <c r="H24" s="27" t="s">
        <v>20</v>
      </c>
      <c r="I24" s="28" t="str">
        <f>IFERROR( Table1345[[#This Row],[Quantity]]*Table1345[[#This Row],[Price Per Unit]], "")</f>
        <v/>
      </c>
    </row>
    <row r="25" spans="1:9" x14ac:dyDescent="0.3">
      <c r="A25" s="26">
        <v>44895</v>
      </c>
      <c r="B25" s="13">
        <v>23</v>
      </c>
      <c r="C25" s="14" t="s">
        <v>61</v>
      </c>
      <c r="D25" s="14" t="s">
        <v>17</v>
      </c>
      <c r="E25" s="14" t="s">
        <v>18</v>
      </c>
      <c r="F25" s="14" t="s">
        <v>62</v>
      </c>
      <c r="G25" s="19">
        <v>65</v>
      </c>
      <c r="H25" s="27">
        <v>30.77</v>
      </c>
      <c r="I25" s="28">
        <f>IFERROR( Table1345[[#This Row],[Quantity]]*Table1345[[#This Row],[Price Per Unit]], "")</f>
        <v>2000.05</v>
      </c>
    </row>
    <row r="26" spans="1:9" x14ac:dyDescent="0.3">
      <c r="A26" s="26">
        <v>44926</v>
      </c>
      <c r="B26" s="13">
        <v>24</v>
      </c>
      <c r="C26" s="14" t="s">
        <v>63</v>
      </c>
      <c r="D26" s="14" t="s">
        <v>22</v>
      </c>
      <c r="E26" s="14" t="s">
        <v>23</v>
      </c>
      <c r="F26" s="14" t="s">
        <v>64</v>
      </c>
      <c r="G26" s="19">
        <v>70</v>
      </c>
      <c r="H26" s="27">
        <v>30</v>
      </c>
      <c r="I26" s="28">
        <f>IFERROR( Table1345[[#This Row],[Quantity]]*Table1345[[#This Row],[Price Per Unit]], "")</f>
        <v>2100</v>
      </c>
    </row>
    <row r="27" spans="1:9" x14ac:dyDescent="0.3">
      <c r="A27" s="26">
        <v>44957</v>
      </c>
      <c r="B27" s="13">
        <v>25</v>
      </c>
      <c r="C27" s="14" t="s">
        <v>65</v>
      </c>
      <c r="D27" s="14" t="s">
        <v>66</v>
      </c>
      <c r="E27" s="14" t="s">
        <v>67</v>
      </c>
      <c r="F27" s="14" t="s">
        <v>68</v>
      </c>
      <c r="G27" s="19">
        <v>75</v>
      </c>
      <c r="H27" s="27">
        <v>29.33</v>
      </c>
      <c r="I27" s="28">
        <f>IFERROR( Table1345[[#This Row],[Quantity]]*Table1345[[#This Row],[Price Per Unit]], "")</f>
        <v>2199.75</v>
      </c>
    </row>
    <row r="28" spans="1:9" x14ac:dyDescent="0.3">
      <c r="A28" s="26">
        <v>44985</v>
      </c>
      <c r="B28" s="13">
        <v>26</v>
      </c>
      <c r="C28" s="14" t="s">
        <v>69</v>
      </c>
      <c r="D28" s="14" t="s">
        <v>66</v>
      </c>
      <c r="E28" s="14" t="s">
        <v>70</v>
      </c>
      <c r="F28" s="14" t="s">
        <v>71</v>
      </c>
      <c r="G28" s="19">
        <v>80</v>
      </c>
      <c r="H28" s="27">
        <v>28.75</v>
      </c>
      <c r="I28" s="28">
        <f>IFERROR( Table1345[[#This Row],[Quantity]]*Table1345[[#This Row],[Price Per Unit]], "")</f>
        <v>2300</v>
      </c>
    </row>
    <row r="29" spans="1:9" x14ac:dyDescent="0.3">
      <c r="A29" s="26">
        <v>45016</v>
      </c>
      <c r="B29" s="13">
        <v>27</v>
      </c>
      <c r="C29" s="14" t="s">
        <v>41</v>
      </c>
      <c r="D29" s="14" t="s">
        <v>13</v>
      </c>
      <c r="E29" s="14" t="s">
        <v>72</v>
      </c>
      <c r="F29" s="14" t="s">
        <v>73</v>
      </c>
      <c r="G29" s="19">
        <v>0</v>
      </c>
      <c r="H29" s="27" t="s">
        <v>20</v>
      </c>
      <c r="I29" s="28" t="str">
        <f>IFERROR( Table1345[[#This Row],[Quantity]]*Table1345[[#This Row],[Price Per Unit]], "")</f>
        <v/>
      </c>
    </row>
    <row r="30" spans="1:9" x14ac:dyDescent="0.3">
      <c r="A30" s="26">
        <v>45046</v>
      </c>
      <c r="B30" s="13">
        <v>28</v>
      </c>
      <c r="C30" s="14" t="s">
        <v>39</v>
      </c>
      <c r="D30" s="14" t="s">
        <v>22</v>
      </c>
      <c r="E30" s="14" t="s">
        <v>74</v>
      </c>
      <c r="F30" s="14" t="s">
        <v>75</v>
      </c>
      <c r="G30" s="19">
        <v>85</v>
      </c>
      <c r="H30" s="27">
        <v>29.41</v>
      </c>
      <c r="I30" s="28">
        <f>IFERROR( Table1345[[#This Row],[Quantity]]*Table1345[[#This Row],[Price Per Unit]], "")</f>
        <v>2499.85</v>
      </c>
    </row>
    <row r="31" spans="1:9" x14ac:dyDescent="0.3">
      <c r="A31" s="29" t="s">
        <v>89</v>
      </c>
      <c r="B31" s="13"/>
      <c r="C31" s="14"/>
      <c r="D31" s="14"/>
      <c r="E31" s="14"/>
      <c r="F31" s="14"/>
      <c r="G31" s="19"/>
      <c r="H31" s="27">
        <f>SUBTOTAL(104,Table1345[Price Per Unit])</f>
        <v>160</v>
      </c>
      <c r="I31" s="27">
        <f>SUBTOTAL(109,Table1345[Sales])</f>
        <v>26399.8</v>
      </c>
    </row>
  </sheetData>
  <conditionalFormatting sqref="B2:B30">
    <cfRule type="duplicateValues" dxfId="41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M10" sqref="M10"/>
    </sheetView>
  </sheetViews>
  <sheetFormatPr defaultRowHeight="14.4" x14ac:dyDescent="0.3"/>
  <sheetData>
    <row r="1" spans="1:11" ht="39.6" x14ac:dyDescent="0.3">
      <c r="A1" s="21" t="s">
        <v>93</v>
      </c>
      <c r="B1" s="5"/>
      <c r="C1" s="5"/>
      <c r="D1" s="5"/>
      <c r="E1" s="5"/>
      <c r="F1" s="5"/>
      <c r="G1" s="17"/>
      <c r="H1" s="22"/>
      <c r="I1" s="22"/>
      <c r="K1" s="31" t="s">
        <v>115</v>
      </c>
    </row>
    <row r="2" spans="1:11" x14ac:dyDescent="0.3">
      <c r="A2" s="23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8" t="s">
        <v>6</v>
      </c>
      <c r="H2" s="24" t="s">
        <v>7</v>
      </c>
      <c r="I2" s="25" t="s">
        <v>91</v>
      </c>
    </row>
    <row r="3" spans="1:11" x14ac:dyDescent="0.3">
      <c r="A3" s="29">
        <v>44227</v>
      </c>
      <c r="B3" s="13">
        <v>1</v>
      </c>
      <c r="C3" s="14" t="s">
        <v>80</v>
      </c>
      <c r="D3" s="14" t="s">
        <v>9</v>
      </c>
      <c r="E3" s="14" t="s">
        <v>10</v>
      </c>
      <c r="F3" s="14" t="s">
        <v>11</v>
      </c>
      <c r="G3" s="19">
        <v>10</v>
      </c>
      <c r="H3" s="27">
        <v>20</v>
      </c>
      <c r="I3" s="28">
        <f>IFERROR( Table13456[[#This Row],[Quantity]]*Table13456[[#This Row],[Price Per Unit]], "")</f>
        <v>200</v>
      </c>
      <c r="K3" s="33" t="s">
        <v>116</v>
      </c>
    </row>
    <row r="4" spans="1:11" x14ac:dyDescent="0.3">
      <c r="A4" s="29">
        <v>44255</v>
      </c>
      <c r="B4" s="13">
        <v>2</v>
      </c>
      <c r="C4" s="14" t="s">
        <v>12</v>
      </c>
      <c r="D4" s="14" t="s">
        <v>13</v>
      </c>
      <c r="E4" s="14" t="s">
        <v>86</v>
      </c>
      <c r="F4" s="14" t="s">
        <v>15</v>
      </c>
      <c r="G4" s="19">
        <v>15</v>
      </c>
      <c r="H4" s="27">
        <v>10</v>
      </c>
      <c r="I4" s="28">
        <f>IFERROR( Table13456[[#This Row],[Quantity]]*Table13456[[#This Row],[Price Per Unit]], "")</f>
        <v>150</v>
      </c>
    </row>
    <row r="5" spans="1:11" x14ac:dyDescent="0.3">
      <c r="A5" s="29">
        <v>44286</v>
      </c>
      <c r="B5" s="13">
        <v>3</v>
      </c>
      <c r="C5" s="14" t="s">
        <v>81</v>
      </c>
      <c r="D5" s="14" t="s">
        <v>17</v>
      </c>
      <c r="E5" s="14" t="s">
        <v>18</v>
      </c>
      <c r="F5" s="14" t="s">
        <v>19</v>
      </c>
      <c r="G5" s="19">
        <v>0</v>
      </c>
      <c r="H5" s="27"/>
      <c r="I5" s="28">
        <f>IFERROR( Table13456[[#This Row],[Quantity]]*Table13456[[#This Row],[Price Per Unit]], "")</f>
        <v>0</v>
      </c>
    </row>
    <row r="6" spans="1:11" x14ac:dyDescent="0.3">
      <c r="A6" s="29">
        <v>44316</v>
      </c>
      <c r="B6" s="13">
        <v>4</v>
      </c>
      <c r="C6" s="14" t="s">
        <v>82</v>
      </c>
      <c r="D6" s="14" t="s">
        <v>22</v>
      </c>
      <c r="E6" s="14" t="s">
        <v>23</v>
      </c>
      <c r="F6" s="14" t="s">
        <v>24</v>
      </c>
      <c r="G6" s="19">
        <v>25</v>
      </c>
      <c r="H6" s="27">
        <v>10</v>
      </c>
      <c r="I6" s="28">
        <f>IFERROR( Table13456[[#This Row],[Quantity]]*Table13456[[#This Row],[Price Per Unit]], "")</f>
        <v>250</v>
      </c>
    </row>
    <row r="7" spans="1:11" x14ac:dyDescent="0.3">
      <c r="A7" s="29">
        <v>44347</v>
      </c>
      <c r="B7" s="13">
        <v>5</v>
      </c>
      <c r="C7" s="14" t="s">
        <v>25</v>
      </c>
      <c r="D7" s="14" t="s">
        <v>13</v>
      </c>
      <c r="E7" s="14" t="s">
        <v>10</v>
      </c>
      <c r="F7" s="14" t="s">
        <v>26</v>
      </c>
      <c r="G7" s="19">
        <v>30</v>
      </c>
      <c r="H7" s="27">
        <v>16.670000000000002</v>
      </c>
      <c r="I7" s="28">
        <f>IFERROR( Table13456[[#This Row],[Quantity]]*Table13456[[#This Row],[Price Per Unit]], "")</f>
        <v>500.1</v>
      </c>
    </row>
    <row r="8" spans="1:11" x14ac:dyDescent="0.3">
      <c r="A8" s="29">
        <v>44377</v>
      </c>
      <c r="B8" s="13">
        <v>6</v>
      </c>
      <c r="C8" s="14" t="s">
        <v>83</v>
      </c>
      <c r="D8" s="16" t="s">
        <v>84</v>
      </c>
      <c r="E8" s="14" t="s">
        <v>86</v>
      </c>
      <c r="F8" s="14" t="s">
        <v>28</v>
      </c>
      <c r="G8" s="19">
        <v>0</v>
      </c>
      <c r="H8" s="27"/>
      <c r="I8" s="28">
        <f>IFERROR( Table13456[[#This Row],[Quantity]]*Table13456[[#This Row],[Price Per Unit]], "")</f>
        <v>0</v>
      </c>
    </row>
    <row r="9" spans="1:11" x14ac:dyDescent="0.3">
      <c r="A9" s="29">
        <v>44408</v>
      </c>
      <c r="B9" s="13">
        <v>7</v>
      </c>
      <c r="C9" s="14" t="s">
        <v>29</v>
      </c>
      <c r="D9" s="14" t="s">
        <v>17</v>
      </c>
      <c r="E9" s="14" t="s">
        <v>18</v>
      </c>
      <c r="F9" s="14" t="s">
        <v>30</v>
      </c>
      <c r="G9" s="19">
        <v>35</v>
      </c>
      <c r="H9" s="27">
        <v>10</v>
      </c>
      <c r="I9" s="28">
        <f>IFERROR( Table13456[[#This Row],[Quantity]]*Table13456[[#This Row],[Price Per Unit]], "")</f>
        <v>350</v>
      </c>
    </row>
    <row r="10" spans="1:11" x14ac:dyDescent="0.3">
      <c r="A10" s="29">
        <v>44439</v>
      </c>
      <c r="B10" s="13">
        <v>8</v>
      </c>
      <c r="C10" s="14" t="s">
        <v>31</v>
      </c>
      <c r="D10" s="14" t="s">
        <v>22</v>
      </c>
      <c r="E10" s="14" t="s">
        <v>23</v>
      </c>
      <c r="F10" s="14" t="s">
        <v>32</v>
      </c>
      <c r="G10" s="19">
        <v>40</v>
      </c>
      <c r="H10" s="27">
        <v>15</v>
      </c>
      <c r="I10" s="28">
        <f>IFERROR( Table13456[[#This Row],[Quantity]]*Table13456[[#This Row],[Price Per Unit]], "")</f>
        <v>600</v>
      </c>
    </row>
    <row r="11" spans="1:11" x14ac:dyDescent="0.3">
      <c r="A11" s="29">
        <v>44469</v>
      </c>
      <c r="B11" s="13">
        <v>9</v>
      </c>
      <c r="C11" s="14" t="s">
        <v>33</v>
      </c>
      <c r="D11" s="14" t="s">
        <v>13</v>
      </c>
      <c r="E11" s="14" t="s">
        <v>10</v>
      </c>
      <c r="F11" s="14" t="s">
        <v>34</v>
      </c>
      <c r="G11" s="19">
        <v>45</v>
      </c>
      <c r="H11" s="27">
        <v>12.22</v>
      </c>
      <c r="I11" s="28">
        <f>IFERROR( Table13456[[#This Row],[Quantity]]*Table13456[[#This Row],[Price Per Unit]], "")</f>
        <v>549.9</v>
      </c>
    </row>
    <row r="12" spans="1:11" x14ac:dyDescent="0.3">
      <c r="A12" s="29">
        <v>44500</v>
      </c>
      <c r="B12" s="13">
        <v>10</v>
      </c>
      <c r="C12" s="14" t="s">
        <v>35</v>
      </c>
      <c r="D12" s="14" t="s">
        <v>9</v>
      </c>
      <c r="E12" s="14" t="s">
        <v>86</v>
      </c>
      <c r="F12" s="14" t="s">
        <v>36</v>
      </c>
      <c r="G12" s="19">
        <v>50</v>
      </c>
      <c r="H12" s="27">
        <v>14</v>
      </c>
      <c r="I12" s="28">
        <f>IFERROR( Table13456[[#This Row],[Quantity]]*Table13456[[#This Row],[Price Per Unit]], "")</f>
        <v>700</v>
      </c>
    </row>
    <row r="13" spans="1:11" x14ac:dyDescent="0.3">
      <c r="A13" s="29">
        <v>44530</v>
      </c>
      <c r="B13" s="13">
        <v>11</v>
      </c>
      <c r="C13" s="14" t="s">
        <v>37</v>
      </c>
      <c r="D13" s="14" t="s">
        <v>17</v>
      </c>
      <c r="E13" s="14" t="s">
        <v>18</v>
      </c>
      <c r="F13" s="14" t="s">
        <v>38</v>
      </c>
      <c r="G13" s="19">
        <v>5</v>
      </c>
      <c r="H13" s="27">
        <v>160</v>
      </c>
      <c r="I13" s="28">
        <f>IFERROR( Table13456[[#This Row],[Quantity]]*Table13456[[#This Row],[Price Per Unit]], "")</f>
        <v>800</v>
      </c>
    </row>
    <row r="14" spans="1:11" x14ac:dyDescent="0.3">
      <c r="A14" s="29">
        <v>44561</v>
      </c>
      <c r="B14" s="13">
        <v>12</v>
      </c>
      <c r="C14" s="14" t="s">
        <v>39</v>
      </c>
      <c r="D14" s="14" t="s">
        <v>22</v>
      </c>
      <c r="E14" s="14" t="s">
        <v>23</v>
      </c>
      <c r="F14" s="14" t="s">
        <v>40</v>
      </c>
      <c r="G14" s="19">
        <v>20</v>
      </c>
      <c r="H14" s="27">
        <v>45</v>
      </c>
      <c r="I14" s="28">
        <f>IFERROR( Table13456[[#This Row],[Quantity]]*Table13456[[#This Row],[Price Per Unit]], "")</f>
        <v>900</v>
      </c>
    </row>
    <row r="15" spans="1:11" x14ac:dyDescent="0.3">
      <c r="A15" s="29">
        <v>44592</v>
      </c>
      <c r="B15" s="13">
        <v>13</v>
      </c>
      <c r="C15" s="14" t="s">
        <v>41</v>
      </c>
      <c r="D15" s="14" t="s">
        <v>13</v>
      </c>
      <c r="E15" s="14" t="s">
        <v>10</v>
      </c>
      <c r="F15" s="14" t="s">
        <v>42</v>
      </c>
      <c r="G15" s="19">
        <v>0</v>
      </c>
      <c r="H15" s="27"/>
      <c r="I15" s="28">
        <f>IFERROR( Table13456[[#This Row],[Quantity]]*Table13456[[#This Row],[Price Per Unit]], "")</f>
        <v>0</v>
      </c>
    </row>
    <row r="16" spans="1:11" x14ac:dyDescent="0.3">
      <c r="A16" s="29">
        <v>44620</v>
      </c>
      <c r="B16" s="13">
        <v>14</v>
      </c>
      <c r="C16" s="14" t="s">
        <v>43</v>
      </c>
      <c r="D16" s="16" t="s">
        <v>84</v>
      </c>
      <c r="E16" s="14" t="s">
        <v>86</v>
      </c>
      <c r="F16" s="14" t="s">
        <v>44</v>
      </c>
      <c r="G16" s="19">
        <v>30</v>
      </c>
      <c r="H16" s="27">
        <v>36.67</v>
      </c>
      <c r="I16" s="28">
        <f>IFERROR( Table13456[[#This Row],[Quantity]]*Table13456[[#This Row],[Price Per Unit]], "")</f>
        <v>1100.1000000000001</v>
      </c>
    </row>
    <row r="17" spans="1:9" x14ac:dyDescent="0.3">
      <c r="A17" s="29">
        <v>44651</v>
      </c>
      <c r="B17" s="13">
        <v>15</v>
      </c>
      <c r="C17" s="14" t="s">
        <v>45</v>
      </c>
      <c r="D17" s="14" t="s">
        <v>17</v>
      </c>
      <c r="E17" s="14" t="s">
        <v>18</v>
      </c>
      <c r="F17" s="14" t="s">
        <v>46</v>
      </c>
      <c r="G17" s="19">
        <v>35</v>
      </c>
      <c r="H17" s="27">
        <v>34.29</v>
      </c>
      <c r="I17" s="28">
        <f>IFERROR( Table13456[[#This Row],[Quantity]]*Table13456[[#This Row],[Price Per Unit]], "")</f>
        <v>1200.1499999999999</v>
      </c>
    </row>
    <row r="18" spans="1:9" x14ac:dyDescent="0.3">
      <c r="A18" s="29">
        <v>44681</v>
      </c>
      <c r="B18" s="13">
        <v>16</v>
      </c>
      <c r="C18" s="14" t="s">
        <v>47</v>
      </c>
      <c r="D18" s="16" t="s">
        <v>84</v>
      </c>
      <c r="E18" s="14" t="s">
        <v>23</v>
      </c>
      <c r="F18" s="14" t="s">
        <v>48</v>
      </c>
      <c r="G18" s="19">
        <v>0</v>
      </c>
      <c r="H18" s="27"/>
      <c r="I18" s="28">
        <f>IFERROR( Table13456[[#This Row],[Quantity]]*Table13456[[#This Row],[Price Per Unit]], "")</f>
        <v>0</v>
      </c>
    </row>
    <row r="19" spans="1:9" x14ac:dyDescent="0.3">
      <c r="A19" s="29">
        <v>44712</v>
      </c>
      <c r="B19" s="13">
        <v>17</v>
      </c>
      <c r="C19" s="14" t="s">
        <v>49</v>
      </c>
      <c r="D19" s="14" t="s">
        <v>13</v>
      </c>
      <c r="E19" s="14" t="s">
        <v>10</v>
      </c>
      <c r="F19" s="14" t="s">
        <v>50</v>
      </c>
      <c r="G19" s="19">
        <v>40</v>
      </c>
      <c r="H19" s="27">
        <v>35</v>
      </c>
      <c r="I19" s="28">
        <f>IFERROR( Table13456[[#This Row],[Quantity]]*Table13456[[#This Row],[Price Per Unit]], "")</f>
        <v>1400</v>
      </c>
    </row>
    <row r="20" spans="1:9" x14ac:dyDescent="0.3">
      <c r="A20" s="29">
        <v>44742</v>
      </c>
      <c r="B20" s="13">
        <v>18</v>
      </c>
      <c r="C20" s="14" t="s">
        <v>51</v>
      </c>
      <c r="D20" s="14" t="s">
        <v>9</v>
      </c>
      <c r="E20" s="14" t="s">
        <v>86</v>
      </c>
      <c r="F20" s="14" t="s">
        <v>52</v>
      </c>
      <c r="G20" s="19">
        <v>45</v>
      </c>
      <c r="H20" s="27">
        <v>33.33</v>
      </c>
      <c r="I20" s="28">
        <f>IFERROR( Table13456[[#This Row],[Quantity]]*Table13456[[#This Row],[Price Per Unit]], "")</f>
        <v>1499.85</v>
      </c>
    </row>
    <row r="21" spans="1:9" x14ac:dyDescent="0.3">
      <c r="A21" s="29">
        <v>44773</v>
      </c>
      <c r="B21" s="13">
        <v>19</v>
      </c>
      <c r="C21" s="14" t="s">
        <v>53</v>
      </c>
      <c r="D21" s="14" t="s">
        <v>17</v>
      </c>
      <c r="E21" s="14" t="s">
        <v>18</v>
      </c>
      <c r="F21" s="14" t="s">
        <v>54</v>
      </c>
      <c r="G21" s="19">
        <v>50</v>
      </c>
      <c r="H21" s="27">
        <v>32</v>
      </c>
      <c r="I21" s="28">
        <f>IFERROR( Table13456[[#This Row],[Quantity]]*Table13456[[#This Row],[Price Per Unit]], "")</f>
        <v>1600</v>
      </c>
    </row>
    <row r="22" spans="1:9" x14ac:dyDescent="0.3">
      <c r="A22" s="29">
        <v>44804</v>
      </c>
      <c r="B22" s="13">
        <v>20</v>
      </c>
      <c r="C22" s="14" t="s">
        <v>55</v>
      </c>
      <c r="D22" s="14" t="s">
        <v>22</v>
      </c>
      <c r="E22" s="14" t="s">
        <v>23</v>
      </c>
      <c r="F22" s="14" t="s">
        <v>56</v>
      </c>
      <c r="G22" s="19">
        <v>55</v>
      </c>
      <c r="H22" s="27">
        <v>30.91</v>
      </c>
      <c r="I22" s="28">
        <f>IFERROR( Table13456[[#This Row],[Quantity]]*Table13456[[#This Row],[Price Per Unit]], "")</f>
        <v>1700.05</v>
      </c>
    </row>
    <row r="23" spans="1:9" x14ac:dyDescent="0.3">
      <c r="A23" s="29">
        <v>44834</v>
      </c>
      <c r="B23" s="13">
        <v>21</v>
      </c>
      <c r="C23" s="14" t="s">
        <v>57</v>
      </c>
      <c r="D23" s="14" t="s">
        <v>13</v>
      </c>
      <c r="E23" s="14" t="s">
        <v>10</v>
      </c>
      <c r="F23" s="14" t="s">
        <v>58</v>
      </c>
      <c r="G23" s="19">
        <v>60</v>
      </c>
      <c r="H23" s="27">
        <v>30</v>
      </c>
      <c r="I23" s="28">
        <f>IFERROR( Table13456[[#This Row],[Quantity]]*Table13456[[#This Row],[Price Per Unit]], "")</f>
        <v>1800</v>
      </c>
    </row>
    <row r="24" spans="1:9" x14ac:dyDescent="0.3">
      <c r="A24" s="29">
        <v>44865</v>
      </c>
      <c r="B24" s="13">
        <v>22</v>
      </c>
      <c r="C24" s="14" t="s">
        <v>59</v>
      </c>
      <c r="D24" s="14" t="s">
        <v>9</v>
      </c>
      <c r="E24" s="14" t="s">
        <v>86</v>
      </c>
      <c r="F24" s="14" t="s">
        <v>60</v>
      </c>
      <c r="G24" s="19">
        <v>0</v>
      </c>
      <c r="H24" s="27"/>
      <c r="I24" s="28">
        <f>IFERROR( Table13456[[#This Row],[Quantity]]*Table13456[[#This Row],[Price Per Unit]], "")</f>
        <v>0</v>
      </c>
    </row>
    <row r="25" spans="1:9" x14ac:dyDescent="0.3">
      <c r="A25" s="29">
        <v>44895</v>
      </c>
      <c r="B25" s="13">
        <v>23</v>
      </c>
      <c r="C25" s="14" t="s">
        <v>61</v>
      </c>
      <c r="D25" s="14" t="s">
        <v>17</v>
      </c>
      <c r="E25" s="14" t="s">
        <v>18</v>
      </c>
      <c r="F25" s="14" t="s">
        <v>62</v>
      </c>
      <c r="G25" s="19">
        <v>65</v>
      </c>
      <c r="H25" s="27">
        <v>30.77</v>
      </c>
      <c r="I25" s="28">
        <f>IFERROR( Table13456[[#This Row],[Quantity]]*Table13456[[#This Row],[Price Per Unit]], "")</f>
        <v>2000.05</v>
      </c>
    </row>
    <row r="26" spans="1:9" x14ac:dyDescent="0.3">
      <c r="A26" s="29">
        <v>44926</v>
      </c>
      <c r="B26" s="13">
        <v>24</v>
      </c>
      <c r="C26" s="14" t="s">
        <v>63</v>
      </c>
      <c r="D26" s="14" t="s">
        <v>22</v>
      </c>
      <c r="E26" s="14" t="s">
        <v>23</v>
      </c>
      <c r="F26" s="14" t="s">
        <v>64</v>
      </c>
      <c r="G26" s="19">
        <v>70</v>
      </c>
      <c r="H26" s="27">
        <v>30</v>
      </c>
      <c r="I26" s="28">
        <f>IFERROR( Table13456[[#This Row],[Quantity]]*Table13456[[#This Row],[Price Per Unit]], "")</f>
        <v>2100</v>
      </c>
    </row>
    <row r="27" spans="1:9" x14ac:dyDescent="0.3">
      <c r="A27" s="29">
        <v>44957</v>
      </c>
      <c r="B27" s="13">
        <v>25</v>
      </c>
      <c r="C27" s="14" t="s">
        <v>65</v>
      </c>
      <c r="D27" s="14" t="s">
        <v>66</v>
      </c>
      <c r="E27" s="14" t="s">
        <v>67</v>
      </c>
      <c r="F27" s="14" t="s">
        <v>68</v>
      </c>
      <c r="G27" s="19">
        <v>75</v>
      </c>
      <c r="H27" s="27">
        <v>29.33</v>
      </c>
      <c r="I27" s="28">
        <f>IFERROR( Table13456[[#This Row],[Quantity]]*Table13456[[#This Row],[Price Per Unit]], "")</f>
        <v>2199.75</v>
      </c>
    </row>
    <row r="28" spans="1:9" x14ac:dyDescent="0.3">
      <c r="A28" s="29">
        <v>44985</v>
      </c>
      <c r="B28" s="13">
        <v>26</v>
      </c>
      <c r="C28" s="14" t="s">
        <v>69</v>
      </c>
      <c r="D28" s="14" t="s">
        <v>66</v>
      </c>
      <c r="E28" s="14" t="s">
        <v>70</v>
      </c>
      <c r="F28" s="14" t="s">
        <v>71</v>
      </c>
      <c r="G28" s="19">
        <v>80</v>
      </c>
      <c r="H28" s="27">
        <v>28.75</v>
      </c>
      <c r="I28" s="28">
        <f>IFERROR( Table13456[[#This Row],[Quantity]]*Table13456[[#This Row],[Price Per Unit]], "")</f>
        <v>2300</v>
      </c>
    </row>
    <row r="29" spans="1:9" x14ac:dyDescent="0.3">
      <c r="A29" s="29">
        <v>45016</v>
      </c>
      <c r="B29" s="13">
        <v>27</v>
      </c>
      <c r="C29" s="14" t="s">
        <v>41</v>
      </c>
      <c r="D29" s="14" t="s">
        <v>13</v>
      </c>
      <c r="E29" s="14" t="s">
        <v>72</v>
      </c>
      <c r="F29" s="14" t="s">
        <v>73</v>
      </c>
      <c r="G29" s="19">
        <v>0</v>
      </c>
      <c r="H29" s="27"/>
      <c r="I29" s="28">
        <f>IFERROR( Table13456[[#This Row],[Quantity]]*Table13456[[#This Row],[Price Per Unit]], "")</f>
        <v>0</v>
      </c>
    </row>
    <row r="30" spans="1:9" x14ac:dyDescent="0.3">
      <c r="A30" s="29">
        <v>45046</v>
      </c>
      <c r="B30" s="13">
        <v>28</v>
      </c>
      <c r="C30" s="14" t="s">
        <v>39</v>
      </c>
      <c r="D30" s="14" t="s">
        <v>22</v>
      </c>
      <c r="E30" s="14" t="s">
        <v>74</v>
      </c>
      <c r="F30" s="14" t="s">
        <v>75</v>
      </c>
      <c r="G30" s="19">
        <v>85</v>
      </c>
      <c r="H30" s="27">
        <v>29.41</v>
      </c>
      <c r="I30" s="28">
        <f>IFERROR( Table13456[[#This Row],[Quantity]]*Table13456[[#This Row],[Price Per Unit]], "")</f>
        <v>2499.85</v>
      </c>
    </row>
    <row r="31" spans="1:9" x14ac:dyDescent="0.3">
      <c r="A31" s="29" t="s">
        <v>89</v>
      </c>
      <c r="B31" s="13"/>
      <c r="C31" s="14"/>
      <c r="D31" s="14"/>
      <c r="E31" s="14"/>
      <c r="F31" s="14"/>
      <c r="G31" s="19"/>
      <c r="H31" s="27">
        <f>SUBTOTAL(104,Table13456[Price Per Unit])</f>
        <v>160</v>
      </c>
      <c r="I31" s="27">
        <f>SUBTOTAL(109,Table13456[Sales])</f>
        <v>26399.8</v>
      </c>
    </row>
  </sheetData>
  <conditionalFormatting sqref="B2:B30">
    <cfRule type="duplicateValues" dxfId="20" priority="1"/>
  </conditionalFormatting>
  <dataValidations count="1">
    <dataValidation type="list" allowBlank="1" showInputMessage="1" showErrorMessage="1" sqref="D3:D30">
      <formula1>"North, South, East, West, Asgard"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A4" workbookViewId="0">
      <selection activeCell="H3" sqref="H3"/>
    </sheetView>
  </sheetViews>
  <sheetFormatPr defaultRowHeight="14.4" x14ac:dyDescent="0.3"/>
  <cols>
    <col min="10" max="10" width="4" bestFit="1" customWidth="1"/>
    <col min="11" max="11" width="10.5546875" bestFit="1" customWidth="1"/>
  </cols>
  <sheetData>
    <row r="1" spans="1:11" x14ac:dyDescent="0.3">
      <c r="A1" s="50" t="s">
        <v>228</v>
      </c>
      <c r="B1" s="50" t="s">
        <v>229</v>
      </c>
      <c r="C1" s="50" t="s">
        <v>230</v>
      </c>
      <c r="D1" s="50" t="s">
        <v>231</v>
      </c>
      <c r="E1" s="50" t="s">
        <v>3</v>
      </c>
      <c r="F1" s="50" t="s">
        <v>232</v>
      </c>
      <c r="G1" s="50" t="s">
        <v>233</v>
      </c>
      <c r="H1" s="50" t="s">
        <v>5</v>
      </c>
      <c r="I1" s="50" t="s">
        <v>234</v>
      </c>
      <c r="J1" s="51" t="s">
        <v>235</v>
      </c>
      <c r="K1" s="52" t="s">
        <v>236</v>
      </c>
    </row>
    <row r="2" spans="1:11" x14ac:dyDescent="0.3">
      <c r="A2" s="53">
        <v>202308241001</v>
      </c>
      <c r="B2" s="54">
        <v>43831</v>
      </c>
      <c r="C2" s="53" t="s">
        <v>237</v>
      </c>
      <c r="D2" s="53" t="s">
        <v>238</v>
      </c>
      <c r="E2" s="53" t="s">
        <v>13</v>
      </c>
      <c r="F2" s="53" t="s">
        <v>239</v>
      </c>
      <c r="G2" s="53" t="s">
        <v>240</v>
      </c>
      <c r="H2" s="53" t="s">
        <v>241</v>
      </c>
      <c r="I2" s="55">
        <v>210</v>
      </c>
      <c r="J2" s="55">
        <v>45</v>
      </c>
      <c r="K2" s="56">
        <f>I2*J2</f>
        <v>9450</v>
      </c>
    </row>
    <row r="3" spans="1:11" ht="129.6" x14ac:dyDescent="0.3">
      <c r="A3" s="53">
        <v>202308241002</v>
      </c>
      <c r="B3" s="54">
        <v>43832</v>
      </c>
      <c r="C3" s="53" t="s">
        <v>242</v>
      </c>
      <c r="D3" s="57" t="s">
        <v>243</v>
      </c>
      <c r="E3" s="53" t="s">
        <v>17</v>
      </c>
      <c r="F3" s="53" t="s">
        <v>244</v>
      </c>
      <c r="G3" s="53" t="s">
        <v>245</v>
      </c>
      <c r="H3" s="53" t="s">
        <v>246</v>
      </c>
      <c r="I3" s="55">
        <v>4000</v>
      </c>
      <c r="J3" s="55">
        <v>3</v>
      </c>
      <c r="K3" s="56">
        <f t="shared" ref="K3:K20" si="0">I3*J3</f>
        <v>12000</v>
      </c>
    </row>
    <row r="4" spans="1:11" ht="100.8" x14ac:dyDescent="0.3">
      <c r="A4" s="53">
        <v>202308241003</v>
      </c>
      <c r="B4" s="54">
        <v>43833</v>
      </c>
      <c r="C4" s="53" t="s">
        <v>247</v>
      </c>
      <c r="D4" s="57" t="s">
        <v>248</v>
      </c>
      <c r="E4" s="53" t="s">
        <v>9</v>
      </c>
      <c r="F4" s="53" t="s">
        <v>249</v>
      </c>
      <c r="G4" s="53" t="s">
        <v>250</v>
      </c>
      <c r="H4" s="53" t="s">
        <v>251</v>
      </c>
      <c r="I4" s="55">
        <v>3200</v>
      </c>
      <c r="J4" s="55">
        <v>5</v>
      </c>
      <c r="K4" s="56">
        <f t="shared" si="0"/>
        <v>16000</v>
      </c>
    </row>
    <row r="5" spans="1:11" ht="86.4" x14ac:dyDescent="0.3">
      <c r="A5" s="53">
        <v>202308241004</v>
      </c>
      <c r="B5" s="54">
        <v>43836</v>
      </c>
      <c r="C5" s="53" t="s">
        <v>252</v>
      </c>
      <c r="D5" s="57" t="s">
        <v>253</v>
      </c>
      <c r="E5" s="53"/>
      <c r="F5" s="53" t="s">
        <v>254</v>
      </c>
      <c r="G5" s="53" t="s">
        <v>255</v>
      </c>
      <c r="H5" s="53" t="s">
        <v>256</v>
      </c>
      <c r="I5" s="55" t="s">
        <v>257</v>
      </c>
      <c r="J5" s="55">
        <v>1</v>
      </c>
      <c r="K5" s="56" t="e">
        <f t="shared" si="0"/>
        <v>#VALUE!</v>
      </c>
    </row>
    <row r="6" spans="1:11" ht="86.4" x14ac:dyDescent="0.3">
      <c r="A6" s="53">
        <v>202308241005</v>
      </c>
      <c r="B6" s="54">
        <v>43837</v>
      </c>
      <c r="C6" s="53" t="s">
        <v>258</v>
      </c>
      <c r="D6" s="57" t="s">
        <v>259</v>
      </c>
      <c r="E6" s="53"/>
      <c r="F6" s="53" t="s">
        <v>260</v>
      </c>
      <c r="G6" s="53" t="s">
        <v>261</v>
      </c>
      <c r="H6" s="53" t="s">
        <v>262</v>
      </c>
      <c r="I6" s="55">
        <v>1500</v>
      </c>
      <c r="J6" s="55">
        <v>3</v>
      </c>
      <c r="K6" s="56">
        <f t="shared" si="0"/>
        <v>4500</v>
      </c>
    </row>
    <row r="7" spans="1:11" x14ac:dyDescent="0.3">
      <c r="A7" s="53"/>
      <c r="B7" s="54"/>
      <c r="C7" s="53"/>
      <c r="D7" s="53"/>
      <c r="E7" s="53"/>
      <c r="F7" s="53"/>
      <c r="G7" s="53"/>
      <c r="H7" s="53"/>
      <c r="I7" s="55"/>
      <c r="J7" s="55"/>
      <c r="K7" s="56"/>
    </row>
    <row r="8" spans="1:11" x14ac:dyDescent="0.3">
      <c r="A8" s="53"/>
      <c r="B8" s="54"/>
      <c r="C8" s="53"/>
      <c r="D8" s="53"/>
      <c r="E8" s="53"/>
      <c r="F8" s="53"/>
      <c r="G8" s="53"/>
      <c r="H8" s="53"/>
      <c r="I8" s="55"/>
      <c r="J8" s="55"/>
      <c r="K8" s="56"/>
    </row>
    <row r="9" spans="1:11" x14ac:dyDescent="0.3">
      <c r="A9" s="53">
        <v>202308241007</v>
      </c>
      <c r="B9" s="54">
        <v>43839</v>
      </c>
      <c r="C9" s="53" t="s">
        <v>263</v>
      </c>
      <c r="D9" s="53" t="s">
        <v>264</v>
      </c>
      <c r="E9" s="53" t="s">
        <v>13</v>
      </c>
      <c r="F9" s="53" t="s">
        <v>265</v>
      </c>
      <c r="G9" s="53" t="s">
        <v>240</v>
      </c>
      <c r="H9" s="53" t="s">
        <v>266</v>
      </c>
      <c r="I9" s="55">
        <v>4000</v>
      </c>
      <c r="J9" s="55">
        <v>4</v>
      </c>
      <c r="K9" s="56">
        <f t="shared" si="0"/>
        <v>16000</v>
      </c>
    </row>
    <row r="10" spans="1:11" ht="86.4" x14ac:dyDescent="0.3">
      <c r="A10" s="53">
        <v>202308241008</v>
      </c>
      <c r="B10" s="54">
        <v>43840</v>
      </c>
      <c r="C10" s="53" t="s">
        <v>267</v>
      </c>
      <c r="D10" s="57" t="s">
        <v>268</v>
      </c>
      <c r="E10" s="53" t="s">
        <v>17</v>
      </c>
      <c r="F10" s="53" t="s">
        <v>269</v>
      </c>
      <c r="G10" s="53" t="s">
        <v>240</v>
      </c>
      <c r="H10" s="53" t="s">
        <v>251</v>
      </c>
      <c r="I10" s="55">
        <v>3200</v>
      </c>
      <c r="J10" s="55">
        <v>1</v>
      </c>
      <c r="K10" s="56">
        <f t="shared" si="0"/>
        <v>3200</v>
      </c>
    </row>
    <row r="11" spans="1:11" x14ac:dyDescent="0.3">
      <c r="A11" s="53">
        <v>202308241009</v>
      </c>
      <c r="B11" s="54">
        <v>43841</v>
      </c>
      <c r="C11" s="53" t="s">
        <v>270</v>
      </c>
      <c r="D11" s="53" t="s">
        <v>271</v>
      </c>
      <c r="E11" s="53" t="s">
        <v>9</v>
      </c>
      <c r="F11" s="53" t="s">
        <v>272</v>
      </c>
      <c r="G11" s="53" t="s">
        <v>240</v>
      </c>
      <c r="H11" s="53" t="s">
        <v>273</v>
      </c>
      <c r="I11" s="55" t="s">
        <v>257</v>
      </c>
      <c r="J11" s="55">
        <v>5</v>
      </c>
      <c r="K11" s="56" t="e">
        <f t="shared" si="0"/>
        <v>#VALUE!</v>
      </c>
    </row>
    <row r="12" spans="1:11" x14ac:dyDescent="0.3">
      <c r="A12" s="53"/>
      <c r="B12" s="54"/>
      <c r="C12" s="53"/>
      <c r="D12" s="53"/>
      <c r="E12" s="53"/>
      <c r="F12" s="53"/>
      <c r="G12" s="53"/>
      <c r="H12" s="53"/>
      <c r="I12" s="55"/>
      <c r="J12" s="55"/>
      <c r="K12" s="56"/>
    </row>
    <row r="13" spans="1:11" x14ac:dyDescent="0.3">
      <c r="A13" s="53"/>
      <c r="B13" s="54"/>
      <c r="C13" s="53"/>
      <c r="D13" s="53"/>
      <c r="E13" s="53"/>
      <c r="F13" s="53"/>
      <c r="G13" s="53"/>
      <c r="H13" s="53"/>
      <c r="I13" s="55"/>
      <c r="J13" s="55"/>
      <c r="K13" s="56"/>
    </row>
    <row r="14" spans="1:11" ht="100.8" x14ac:dyDescent="0.3">
      <c r="A14" s="53">
        <v>202308241010</v>
      </c>
      <c r="B14" s="54">
        <v>43842</v>
      </c>
      <c r="C14" s="53" t="s">
        <v>274</v>
      </c>
      <c r="D14" s="57" t="s">
        <v>275</v>
      </c>
      <c r="E14" s="53" t="s">
        <v>17</v>
      </c>
      <c r="F14" s="53" t="s">
        <v>276</v>
      </c>
      <c r="G14" s="53" t="s">
        <v>240</v>
      </c>
      <c r="H14" s="53" t="s">
        <v>277</v>
      </c>
      <c r="I14" s="55">
        <v>190</v>
      </c>
      <c r="J14" s="55">
        <v>1</v>
      </c>
      <c r="K14" s="56">
        <f t="shared" si="0"/>
        <v>190</v>
      </c>
    </row>
    <row r="15" spans="1:11" ht="86.4" x14ac:dyDescent="0.3">
      <c r="A15" s="53">
        <v>202308241011</v>
      </c>
      <c r="B15" s="54">
        <v>43843</v>
      </c>
      <c r="C15" s="53" t="s">
        <v>278</v>
      </c>
      <c r="D15" s="57" t="s">
        <v>279</v>
      </c>
      <c r="E15" s="53"/>
      <c r="F15" s="53" t="s">
        <v>280</v>
      </c>
      <c r="G15" s="53" t="s">
        <v>240</v>
      </c>
      <c r="H15" s="53" t="s">
        <v>281</v>
      </c>
      <c r="I15" s="55">
        <v>4000</v>
      </c>
      <c r="J15" s="55">
        <v>6</v>
      </c>
      <c r="K15" s="56">
        <f t="shared" si="0"/>
        <v>24000</v>
      </c>
    </row>
    <row r="16" spans="1:11" x14ac:dyDescent="0.3">
      <c r="A16" s="53"/>
      <c r="B16" s="54"/>
      <c r="C16" s="53"/>
      <c r="D16" s="53"/>
      <c r="E16" s="53"/>
      <c r="F16" s="53"/>
      <c r="G16" s="53"/>
      <c r="H16" s="53"/>
      <c r="I16" s="55"/>
      <c r="J16" s="55"/>
      <c r="K16" s="56"/>
    </row>
    <row r="17" spans="1:11" ht="129.6" x14ac:dyDescent="0.3">
      <c r="A17" s="53">
        <v>202308241012</v>
      </c>
      <c r="B17" s="54">
        <v>43844</v>
      </c>
      <c r="C17" s="53" t="s">
        <v>282</v>
      </c>
      <c r="D17" s="57" t="s">
        <v>243</v>
      </c>
      <c r="E17" s="53" t="s">
        <v>22</v>
      </c>
      <c r="F17" s="53" t="s">
        <v>283</v>
      </c>
      <c r="G17" s="53" t="s">
        <v>240</v>
      </c>
      <c r="H17" s="53" t="s">
        <v>262</v>
      </c>
      <c r="I17" s="55" t="s">
        <v>257</v>
      </c>
      <c r="J17" s="55">
        <v>6</v>
      </c>
      <c r="K17" s="56" t="e">
        <f t="shared" si="0"/>
        <v>#VALUE!</v>
      </c>
    </row>
    <row r="18" spans="1:11" ht="100.8" x14ac:dyDescent="0.3">
      <c r="A18" s="53">
        <v>202308241013</v>
      </c>
      <c r="B18" s="54">
        <v>43845</v>
      </c>
      <c r="C18" s="53" t="s">
        <v>284</v>
      </c>
      <c r="D18" s="57" t="s">
        <v>248</v>
      </c>
      <c r="E18" s="53"/>
      <c r="F18" s="53" t="s">
        <v>285</v>
      </c>
      <c r="G18" s="53" t="s">
        <v>240</v>
      </c>
      <c r="H18" s="53" t="s">
        <v>241</v>
      </c>
      <c r="I18" s="55">
        <v>210</v>
      </c>
      <c r="J18" s="55">
        <v>6</v>
      </c>
      <c r="K18" s="56">
        <f t="shared" si="0"/>
        <v>1260</v>
      </c>
    </row>
    <row r="19" spans="1:11" ht="86.4" x14ac:dyDescent="0.3">
      <c r="A19" s="53">
        <v>202308241013.60001</v>
      </c>
      <c r="B19" s="54">
        <v>43842</v>
      </c>
      <c r="C19" s="53" t="s">
        <v>274</v>
      </c>
      <c r="D19" s="57" t="s">
        <v>286</v>
      </c>
      <c r="E19" s="53" t="s">
        <v>17</v>
      </c>
      <c r="F19" s="53" t="s">
        <v>276</v>
      </c>
      <c r="G19" s="53" t="s">
        <v>240</v>
      </c>
      <c r="H19" s="53" t="s">
        <v>277</v>
      </c>
      <c r="I19" s="55">
        <v>7810</v>
      </c>
      <c r="J19" s="55">
        <v>7.75</v>
      </c>
      <c r="K19" s="56">
        <f t="shared" si="0"/>
        <v>60527.5</v>
      </c>
    </row>
    <row r="20" spans="1:11" ht="72" x14ac:dyDescent="0.3">
      <c r="A20" s="53">
        <v>202308241014.29999</v>
      </c>
      <c r="B20" s="54">
        <v>43843</v>
      </c>
      <c r="C20" s="53" t="s">
        <v>278</v>
      </c>
      <c r="D20" s="57" t="s">
        <v>287</v>
      </c>
      <c r="E20" s="53"/>
      <c r="F20" s="53" t="s">
        <v>280</v>
      </c>
      <c r="G20" s="53" t="s">
        <v>240</v>
      </c>
      <c r="H20" s="53" t="s">
        <v>281</v>
      </c>
      <c r="I20" s="55">
        <v>11620</v>
      </c>
      <c r="J20" s="55">
        <v>8.75</v>
      </c>
      <c r="K20" s="56">
        <f t="shared" si="0"/>
        <v>101675</v>
      </c>
    </row>
    <row r="21" spans="1:11" x14ac:dyDescent="0.3">
      <c r="A21" s="53">
        <v>202308241015</v>
      </c>
      <c r="B21" s="54"/>
      <c r="C21" s="53"/>
      <c r="D21" s="53"/>
      <c r="E21" s="53"/>
      <c r="F21" s="53"/>
      <c r="G21" s="53"/>
      <c r="H21" s="53"/>
      <c r="I21" s="55"/>
      <c r="J21" s="55">
        <v>9.75</v>
      </c>
      <c r="K21" s="5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workbookViewId="0">
      <selection activeCell="L12" sqref="L12"/>
    </sheetView>
  </sheetViews>
  <sheetFormatPr defaultRowHeight="14.4" x14ac:dyDescent="0.3"/>
  <sheetData>
    <row r="1" spans="1:13" x14ac:dyDescent="0.3">
      <c r="A1" s="33" t="s">
        <v>341</v>
      </c>
      <c r="M1" s="33" t="s">
        <v>342</v>
      </c>
    </row>
    <row r="2" spans="1:13" x14ac:dyDescent="0.3">
      <c r="M2" t="s">
        <v>343</v>
      </c>
    </row>
    <row r="3" spans="1:13" ht="18" x14ac:dyDescent="0.3">
      <c r="A3" t="s">
        <v>2</v>
      </c>
      <c r="B3" t="s">
        <v>288</v>
      </c>
      <c r="C3" t="s">
        <v>289</v>
      </c>
      <c r="D3" t="s">
        <v>290</v>
      </c>
      <c r="E3" t="s">
        <v>291</v>
      </c>
      <c r="F3" t="s">
        <v>292</v>
      </c>
      <c r="G3" t="s">
        <v>293</v>
      </c>
      <c r="H3" t="s">
        <v>294</v>
      </c>
      <c r="K3" s="58"/>
      <c r="M3" t="s">
        <v>344</v>
      </c>
    </row>
    <row r="4" spans="1:13" x14ac:dyDescent="0.3">
      <c r="A4" t="s">
        <v>295</v>
      </c>
      <c r="B4" t="s">
        <v>296</v>
      </c>
      <c r="C4">
        <v>16</v>
      </c>
      <c r="D4">
        <v>10</v>
      </c>
      <c r="E4" t="s">
        <v>297</v>
      </c>
      <c r="F4">
        <v>84</v>
      </c>
      <c r="G4">
        <v>79</v>
      </c>
      <c r="H4">
        <v>81</v>
      </c>
      <c r="K4" s="32"/>
      <c r="M4" t="s">
        <v>345</v>
      </c>
    </row>
    <row r="5" spans="1:13" x14ac:dyDescent="0.3">
      <c r="A5" t="s">
        <v>298</v>
      </c>
      <c r="B5" t="s">
        <v>296</v>
      </c>
      <c r="C5">
        <v>11</v>
      </c>
      <c r="D5">
        <v>5</v>
      </c>
      <c r="E5" t="s">
        <v>299</v>
      </c>
      <c r="F5">
        <v>82</v>
      </c>
      <c r="G5">
        <v>83</v>
      </c>
      <c r="H5">
        <v>91</v>
      </c>
      <c r="K5" s="32"/>
      <c r="M5" t="s">
        <v>346</v>
      </c>
    </row>
    <row r="6" spans="1:13" x14ac:dyDescent="0.3">
      <c r="A6" t="s">
        <v>300</v>
      </c>
      <c r="B6" t="s">
        <v>301</v>
      </c>
      <c r="C6">
        <v>15</v>
      </c>
      <c r="D6">
        <v>8</v>
      </c>
      <c r="E6" t="s">
        <v>302</v>
      </c>
      <c r="F6">
        <v>81</v>
      </c>
      <c r="G6">
        <v>78</v>
      </c>
      <c r="H6">
        <v>88</v>
      </c>
      <c r="K6" s="32"/>
      <c r="M6" t="s">
        <v>347</v>
      </c>
    </row>
    <row r="7" spans="1:13" x14ac:dyDescent="0.3">
      <c r="A7" t="s">
        <v>303</v>
      </c>
      <c r="B7" t="s">
        <v>296</v>
      </c>
      <c r="C7">
        <v>14</v>
      </c>
      <c r="D7">
        <v>8</v>
      </c>
      <c r="E7" t="s">
        <v>297</v>
      </c>
      <c r="F7">
        <v>70</v>
      </c>
      <c r="G7">
        <v>75</v>
      </c>
      <c r="H7">
        <v>79</v>
      </c>
      <c r="K7" s="32"/>
      <c r="M7" t="s">
        <v>348</v>
      </c>
    </row>
    <row r="8" spans="1:13" x14ac:dyDescent="0.3">
      <c r="A8" t="s">
        <v>304</v>
      </c>
      <c r="B8" t="s">
        <v>301</v>
      </c>
      <c r="C8">
        <v>16</v>
      </c>
      <c r="D8">
        <v>10</v>
      </c>
      <c r="E8" t="s">
        <v>305</v>
      </c>
      <c r="F8">
        <v>88</v>
      </c>
      <c r="G8">
        <v>92</v>
      </c>
      <c r="H8">
        <v>96</v>
      </c>
      <c r="K8" s="32"/>
    </row>
    <row r="9" spans="1:13" x14ac:dyDescent="0.3">
      <c r="A9" t="s">
        <v>306</v>
      </c>
      <c r="B9" t="s">
        <v>296</v>
      </c>
      <c r="C9">
        <v>16</v>
      </c>
      <c r="D9">
        <v>10</v>
      </c>
      <c r="E9" t="s">
        <v>297</v>
      </c>
      <c r="F9">
        <v>82</v>
      </c>
      <c r="G9">
        <v>81</v>
      </c>
      <c r="H9">
        <v>80</v>
      </c>
      <c r="K9" s="32"/>
      <c r="M9" s="33" t="s">
        <v>349</v>
      </c>
    </row>
    <row r="10" spans="1:13" x14ac:dyDescent="0.3">
      <c r="A10" t="s">
        <v>307</v>
      </c>
      <c r="B10" t="s">
        <v>301</v>
      </c>
      <c r="C10">
        <v>14</v>
      </c>
      <c r="D10">
        <v>8</v>
      </c>
      <c r="E10" t="s">
        <v>299</v>
      </c>
      <c r="F10">
        <v>90</v>
      </c>
      <c r="G10">
        <v>86</v>
      </c>
      <c r="H10">
        <v>89</v>
      </c>
      <c r="K10" s="32"/>
      <c r="M10" t="s">
        <v>343</v>
      </c>
    </row>
    <row r="11" spans="1:13" x14ac:dyDescent="0.3">
      <c r="A11" t="s">
        <v>308</v>
      </c>
      <c r="B11" t="s">
        <v>296</v>
      </c>
      <c r="C11">
        <v>15</v>
      </c>
      <c r="D11">
        <v>9</v>
      </c>
      <c r="E11" t="s">
        <v>305</v>
      </c>
      <c r="F11">
        <v>87</v>
      </c>
      <c r="G11">
        <v>89</v>
      </c>
      <c r="H11">
        <v>96</v>
      </c>
      <c r="K11" s="32"/>
      <c r="M11" t="s">
        <v>344</v>
      </c>
    </row>
    <row r="12" spans="1:13" x14ac:dyDescent="0.3">
      <c r="A12" t="s">
        <v>309</v>
      </c>
      <c r="B12" t="s">
        <v>301</v>
      </c>
      <c r="C12">
        <v>17</v>
      </c>
      <c r="D12">
        <v>10</v>
      </c>
      <c r="E12" t="s">
        <v>299</v>
      </c>
      <c r="F12">
        <v>70</v>
      </c>
      <c r="G12">
        <v>90</v>
      </c>
      <c r="H12">
        <v>92</v>
      </c>
      <c r="K12" s="32"/>
      <c r="M12" t="s">
        <v>350</v>
      </c>
    </row>
    <row r="13" spans="1:13" x14ac:dyDescent="0.3">
      <c r="A13" t="s">
        <v>310</v>
      </c>
      <c r="B13" t="s">
        <v>296</v>
      </c>
      <c r="C13">
        <v>12</v>
      </c>
      <c r="D13">
        <v>7</v>
      </c>
      <c r="E13" t="s">
        <v>302</v>
      </c>
      <c r="F13">
        <v>86</v>
      </c>
      <c r="G13">
        <v>92</v>
      </c>
      <c r="H13">
        <v>89</v>
      </c>
      <c r="K13" s="32"/>
      <c r="M13" t="s">
        <v>346</v>
      </c>
    </row>
    <row r="14" spans="1:13" x14ac:dyDescent="0.3">
      <c r="A14" t="s">
        <v>311</v>
      </c>
      <c r="B14" t="s">
        <v>296</v>
      </c>
      <c r="C14">
        <v>11</v>
      </c>
      <c r="D14">
        <v>6</v>
      </c>
      <c r="E14" t="s">
        <v>305</v>
      </c>
      <c r="F14">
        <v>91</v>
      </c>
      <c r="G14">
        <v>81</v>
      </c>
      <c r="H14">
        <v>94</v>
      </c>
      <c r="K14" s="32"/>
      <c r="M14" t="s">
        <v>347</v>
      </c>
    </row>
    <row r="15" spans="1:13" x14ac:dyDescent="0.3">
      <c r="A15" t="s">
        <v>312</v>
      </c>
      <c r="B15" t="s">
        <v>296</v>
      </c>
      <c r="C15">
        <v>16</v>
      </c>
      <c r="D15">
        <v>10</v>
      </c>
      <c r="E15" t="s">
        <v>305</v>
      </c>
      <c r="F15">
        <v>86</v>
      </c>
      <c r="G15">
        <v>81</v>
      </c>
      <c r="H15">
        <v>77</v>
      </c>
      <c r="K15" s="32"/>
      <c r="M15" t="s">
        <v>351</v>
      </c>
    </row>
    <row r="16" spans="1:13" x14ac:dyDescent="0.3">
      <c r="A16" t="s">
        <v>313</v>
      </c>
      <c r="B16" t="s">
        <v>296</v>
      </c>
      <c r="C16">
        <v>15</v>
      </c>
      <c r="D16">
        <v>9</v>
      </c>
      <c r="E16" t="s">
        <v>305</v>
      </c>
      <c r="F16">
        <v>87</v>
      </c>
      <c r="G16">
        <v>89</v>
      </c>
      <c r="H16">
        <v>95</v>
      </c>
      <c r="K16" s="32"/>
    </row>
    <row r="17" spans="1:13" x14ac:dyDescent="0.3">
      <c r="A17" t="s">
        <v>314</v>
      </c>
      <c r="B17" t="s">
        <v>301</v>
      </c>
      <c r="C17">
        <v>15</v>
      </c>
      <c r="D17">
        <v>8</v>
      </c>
      <c r="E17" t="s">
        <v>299</v>
      </c>
      <c r="F17">
        <v>81</v>
      </c>
      <c r="G17">
        <v>90</v>
      </c>
      <c r="H17">
        <v>95</v>
      </c>
      <c r="K17" s="32"/>
      <c r="M17" s="33" t="s">
        <v>352</v>
      </c>
    </row>
    <row r="18" spans="1:13" x14ac:dyDescent="0.3">
      <c r="A18" t="s">
        <v>315</v>
      </c>
      <c r="B18" t="s">
        <v>301</v>
      </c>
      <c r="C18">
        <v>17</v>
      </c>
      <c r="D18">
        <v>10</v>
      </c>
      <c r="E18" t="s">
        <v>299</v>
      </c>
      <c r="F18">
        <v>70</v>
      </c>
      <c r="G18">
        <v>90</v>
      </c>
      <c r="H18">
        <v>92</v>
      </c>
      <c r="K18" s="32"/>
      <c r="M18" t="s">
        <v>343</v>
      </c>
    </row>
    <row r="19" spans="1:13" x14ac:dyDescent="0.3">
      <c r="A19" t="s">
        <v>316</v>
      </c>
      <c r="B19" t="s">
        <v>301</v>
      </c>
      <c r="C19">
        <v>12</v>
      </c>
      <c r="D19">
        <v>7</v>
      </c>
      <c r="E19" t="s">
        <v>302</v>
      </c>
      <c r="F19">
        <v>86</v>
      </c>
      <c r="G19">
        <v>92</v>
      </c>
      <c r="H19">
        <v>89</v>
      </c>
      <c r="K19" s="32"/>
      <c r="M19" t="s">
        <v>344</v>
      </c>
    </row>
    <row r="20" spans="1:13" x14ac:dyDescent="0.3">
      <c r="A20" t="s">
        <v>317</v>
      </c>
      <c r="B20" t="s">
        <v>301</v>
      </c>
      <c r="C20">
        <v>16</v>
      </c>
      <c r="D20">
        <v>10</v>
      </c>
      <c r="E20" t="s">
        <v>302</v>
      </c>
      <c r="F20">
        <v>81</v>
      </c>
      <c r="G20">
        <v>80</v>
      </c>
      <c r="H20">
        <v>87</v>
      </c>
      <c r="M20" t="s">
        <v>353</v>
      </c>
    </row>
    <row r="21" spans="1:13" x14ac:dyDescent="0.3">
      <c r="A21" t="s">
        <v>318</v>
      </c>
      <c r="B21" t="s">
        <v>301</v>
      </c>
      <c r="C21">
        <v>16</v>
      </c>
      <c r="D21">
        <v>10</v>
      </c>
      <c r="E21" t="s">
        <v>302</v>
      </c>
      <c r="F21">
        <v>81</v>
      </c>
      <c r="G21">
        <v>80</v>
      </c>
      <c r="H21">
        <v>87</v>
      </c>
      <c r="M21" t="s">
        <v>354</v>
      </c>
    </row>
    <row r="22" spans="1:13" x14ac:dyDescent="0.3">
      <c r="A22" t="s">
        <v>319</v>
      </c>
      <c r="B22" t="s">
        <v>296</v>
      </c>
      <c r="C22">
        <v>15</v>
      </c>
      <c r="D22">
        <v>9</v>
      </c>
      <c r="E22" t="s">
        <v>299</v>
      </c>
      <c r="F22">
        <v>87</v>
      </c>
      <c r="G22">
        <v>89</v>
      </c>
      <c r="H22">
        <v>95</v>
      </c>
      <c r="M22" t="s">
        <v>347</v>
      </c>
    </row>
    <row r="23" spans="1:13" x14ac:dyDescent="0.3">
      <c r="A23" t="s">
        <v>320</v>
      </c>
      <c r="B23" t="s">
        <v>301</v>
      </c>
      <c r="C23">
        <v>11</v>
      </c>
      <c r="D23">
        <v>6</v>
      </c>
      <c r="E23" t="s">
        <v>299</v>
      </c>
      <c r="F23">
        <v>88</v>
      </c>
      <c r="G23">
        <v>90</v>
      </c>
      <c r="H23">
        <v>92</v>
      </c>
      <c r="M23" t="s">
        <v>355</v>
      </c>
    </row>
    <row r="24" spans="1:13" x14ac:dyDescent="0.3">
      <c r="A24" t="s">
        <v>321</v>
      </c>
      <c r="B24" t="s">
        <v>301</v>
      </c>
      <c r="C24">
        <v>16</v>
      </c>
      <c r="D24">
        <v>10</v>
      </c>
      <c r="E24" t="s">
        <v>297</v>
      </c>
      <c r="F24">
        <v>70</v>
      </c>
      <c r="G24">
        <v>87</v>
      </c>
      <c r="H24">
        <v>85</v>
      </c>
    </row>
    <row r="25" spans="1:13" x14ac:dyDescent="0.3">
      <c r="A25" t="s">
        <v>322</v>
      </c>
      <c r="B25" t="s">
        <v>301</v>
      </c>
      <c r="C25">
        <v>14</v>
      </c>
      <c r="D25">
        <v>8</v>
      </c>
      <c r="E25" t="s">
        <v>305</v>
      </c>
      <c r="F25">
        <v>91</v>
      </c>
      <c r="G25">
        <v>96</v>
      </c>
      <c r="H25">
        <v>98</v>
      </c>
      <c r="M25" s="33" t="s">
        <v>356</v>
      </c>
    </row>
    <row r="26" spans="1:13" x14ac:dyDescent="0.3">
      <c r="M26" t="s">
        <v>343</v>
      </c>
    </row>
    <row r="27" spans="1:13" x14ac:dyDescent="0.3">
      <c r="M27" t="s">
        <v>344</v>
      </c>
    </row>
    <row r="28" spans="1:13" ht="18" x14ac:dyDescent="0.3">
      <c r="A28" s="58" t="s">
        <v>323</v>
      </c>
      <c r="M28" t="s">
        <v>350</v>
      </c>
    </row>
    <row r="29" spans="1:13" x14ac:dyDescent="0.3">
      <c r="M29" t="s">
        <v>346</v>
      </c>
    </row>
    <row r="30" spans="1:13" x14ac:dyDescent="0.3">
      <c r="A30" s="59" t="s">
        <v>324</v>
      </c>
      <c r="M30" t="s">
        <v>357</v>
      </c>
    </row>
    <row r="31" spans="1:13" x14ac:dyDescent="0.3">
      <c r="A31" t="s">
        <v>325</v>
      </c>
      <c r="M31" t="s">
        <v>358</v>
      </c>
    </row>
    <row r="33" spans="1:1" x14ac:dyDescent="0.3">
      <c r="A33" s="59" t="s">
        <v>326</v>
      </c>
    </row>
    <row r="34" spans="1:1" x14ac:dyDescent="0.3">
      <c r="A34" t="s">
        <v>327</v>
      </c>
    </row>
    <row r="35" spans="1:1" x14ac:dyDescent="0.3">
      <c r="A35" s="32"/>
    </row>
    <row r="36" spans="1:1" x14ac:dyDescent="0.3">
      <c r="A36" s="60" t="s">
        <v>328</v>
      </c>
    </row>
    <row r="37" spans="1:1" x14ac:dyDescent="0.3">
      <c r="A37" s="32"/>
    </row>
    <row r="38" spans="1:1" x14ac:dyDescent="0.3">
      <c r="A38" s="60" t="s">
        <v>329</v>
      </c>
    </row>
    <row r="39" spans="1:1" x14ac:dyDescent="0.3">
      <c r="A39" s="32"/>
    </row>
    <row r="40" spans="1:1" x14ac:dyDescent="0.3">
      <c r="A40" s="60" t="s">
        <v>330</v>
      </c>
    </row>
    <row r="41" spans="1:1" x14ac:dyDescent="0.3">
      <c r="A41" s="32"/>
    </row>
    <row r="42" spans="1:1" x14ac:dyDescent="0.3">
      <c r="A42" s="60" t="s">
        <v>331</v>
      </c>
    </row>
    <row r="44" spans="1:1" x14ac:dyDescent="0.3">
      <c r="A44" s="59" t="s">
        <v>332</v>
      </c>
    </row>
    <row r="45" spans="1:1" x14ac:dyDescent="0.3">
      <c r="A45" t="s">
        <v>333</v>
      </c>
    </row>
    <row r="46" spans="1:1" x14ac:dyDescent="0.3">
      <c r="A46" s="32"/>
    </row>
    <row r="47" spans="1:1" x14ac:dyDescent="0.3">
      <c r="A47" s="32" t="s">
        <v>334</v>
      </c>
    </row>
    <row r="48" spans="1:1" x14ac:dyDescent="0.3">
      <c r="A48" s="32"/>
    </row>
    <row r="49" spans="1:1" x14ac:dyDescent="0.3">
      <c r="A49" s="32" t="s">
        <v>335</v>
      </c>
    </row>
    <row r="50" spans="1:1" x14ac:dyDescent="0.3">
      <c r="A50" s="32"/>
    </row>
    <row r="51" spans="1:1" x14ac:dyDescent="0.3">
      <c r="A51" s="32" t="s">
        <v>336</v>
      </c>
    </row>
    <row r="53" spans="1:1" x14ac:dyDescent="0.3">
      <c r="A53" s="59" t="s">
        <v>337</v>
      </c>
    </row>
    <row r="54" spans="1:1" x14ac:dyDescent="0.3">
      <c r="A54" s="32"/>
    </row>
    <row r="55" spans="1:1" x14ac:dyDescent="0.3">
      <c r="A55" s="32" t="s">
        <v>338</v>
      </c>
    </row>
    <row r="56" spans="1:1" x14ac:dyDescent="0.3">
      <c r="A56" s="32"/>
    </row>
    <row r="57" spans="1:1" x14ac:dyDescent="0.3">
      <c r="A57" s="32" t="s">
        <v>339</v>
      </c>
    </row>
    <row r="58" spans="1:1" x14ac:dyDescent="0.3">
      <c r="A58" s="32"/>
    </row>
    <row r="59" spans="1:1" x14ac:dyDescent="0.3">
      <c r="A59" s="32" t="s">
        <v>340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 Data</vt:lpstr>
      <vt:lpstr>Bad Data</vt:lpstr>
      <vt:lpstr>AutoFit</vt:lpstr>
      <vt:lpstr>Remove Duplicates</vt:lpstr>
      <vt:lpstr>Trim Extra Spaces </vt:lpstr>
      <vt:lpstr>Eliminate Blank Cells </vt:lpstr>
      <vt:lpstr>Spell Check</vt:lpstr>
      <vt:lpstr>Data Validation</vt:lpstr>
      <vt:lpstr>Table </vt:lpstr>
      <vt:lpstr>IFERROR</vt:lpstr>
      <vt:lpstr>Number Formats</vt:lpstr>
      <vt:lpstr>Find &amp; Replace</vt:lpstr>
      <vt:lpstr>Raw Data 2 </vt:lpstr>
      <vt:lpstr>Pivot Table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Nelli Prasanthi Rashmi</dc:creator>
  <cp:lastModifiedBy>Lenovo1</cp:lastModifiedBy>
  <dcterms:created xsi:type="dcterms:W3CDTF">2025-11-04T03:04:24Z</dcterms:created>
  <dcterms:modified xsi:type="dcterms:W3CDTF">2026-01-07T07:28:46Z</dcterms:modified>
</cp:coreProperties>
</file>
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ANTHI\Desktop\Power BI Project\Final\New folder (2)\"/>
    </mc:Choice>
  </mc:AlternateContent>
  <xr:revisionPtr revIDLastSave="0" documentId="13_ncr:1_{302D48E1-5CE8-41AE-8ECF-5ED52B3F485F}" xr6:coauthVersionLast="47" xr6:coauthVersionMax="47" xr10:uidLastSave="{00000000-0000-0000-0000-000000000000}"/>
  <bookViews>
    <workbookView xWindow="-108" yWindow="-108" windowWidth="23256" windowHeight="12456" activeTab="2" xr2:uid="{0BEA1485-43B3-4625-AFE4-4975C1CA0513}"/>
  </bookViews>
  <sheets>
    <sheet name="Raw Data" sheetId="1" r:id="rId1"/>
    <sheet name="Pivot Table " sheetId="15" r:id="rId2"/>
    <sheet name="Product " sheetId="16" r:id="rId3"/>
    <sheet name="Sales " sheetId="17" r:id="rId4"/>
    <sheet name="Power Pivot" sheetId="18" r:id="rId5"/>
  </sheets>
  <definedNames>
    <definedName name="_xlnm._FilterDatabase" localSheetId="3" hidden="1">'Sales '!$M$102:$M$109</definedName>
    <definedName name="_xlcn.WorksheetConnection_PowerPivotTable.xlsxProduct1" hidden="1">Product[]</definedName>
    <definedName name="_xlcn.WorksheetConnection_PowerPivotTable.xlsxSales1" hidden="1">Sales[]</definedName>
  </definedNames>
  <calcPr calcId="18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" name="Product" connection="WorksheetConnection_Power Pivot Table.xlsx!Product"/>
          <x15:modelTable id="Sales" name="Sales" connection="WorksheetConnection_Power Pivot Table.xlsx!Sales"/>
        </x15:modelTables>
        <x15:modelRelationships>
          <x15:modelRelationship fromTable="Sales" fromColumn="Product ID" toTable="Product" toColumn="Product ID"/>
        </x15:modelRelationships>
      </x15:dataModel>
    </ext>
  </extLst>
</workbook>
</file>

<file path=xl/calcChain.xml><?xml version="1.0" encoding="utf-8"?>
<calcChain xmlns="http://schemas.openxmlformats.org/spreadsheetml/2006/main">
  <c r="L76" i="1" l="1"/>
  <c r="L77" i="1"/>
  <c r="L8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0FCE9C-79BF-426B-872A-85662120F5A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484B67A-2920-48D1-8C75-A19E3723C62E}" name="WorksheetConnection_Power Pivot Table.xlsx!Product" type="102" refreshedVersion="8" minRefreshableVersion="5">
    <extLst>
      <ext xmlns:x15="http://schemas.microsoft.com/office/spreadsheetml/2010/11/main" uri="{DE250136-89BD-433C-8126-D09CA5730AF9}">
        <x15:connection id="Product" autoDelete="1">
          <x15:rangePr sourceName="_xlcn.WorksheetConnection_PowerPivotTable.xlsxProduct1"/>
        </x15:connection>
      </ext>
    </extLst>
  </connection>
  <connection id="3" xr16:uid="{4A4A7FCB-9517-486E-96ED-25FE207EF811}" name="WorksheetConnection_Power Pivot Table.xlsx!Sales" type="102" refreshedVersion="8" minRefreshableVersion="5">
    <extLst>
      <ext xmlns:x15="http://schemas.microsoft.com/office/spreadsheetml/2010/11/main" uri="{DE250136-89BD-433C-8126-D09CA5730AF9}">
        <x15:connection id="Sales">
          <x15:rangePr sourceName="_xlcn.WorksheetConnection_PowerPivotTable.xlsxSales1"/>
        </x15:connection>
      </ext>
    </extLst>
  </connection>
</connections>
</file>

<file path=xl/sharedStrings.xml><?xml version="1.0" encoding="utf-8"?>
<sst xmlns="http://schemas.openxmlformats.org/spreadsheetml/2006/main" count="2729" uniqueCount="1196">
  <si>
    <t>Date</t>
  </si>
  <si>
    <t>ID</t>
  </si>
  <si>
    <t>Name</t>
  </si>
  <si>
    <t>Region</t>
  </si>
  <si>
    <t>Rating</t>
  </si>
  <si>
    <t>Product</t>
  </si>
  <si>
    <t>Quantity</t>
  </si>
  <si>
    <t>Price Per Unit</t>
  </si>
  <si>
    <t xml:space="preserve">John Smith   </t>
  </si>
  <si>
    <t>North</t>
  </si>
  <si>
    <t>Good</t>
  </si>
  <si>
    <t>Magic Wand</t>
  </si>
  <si>
    <t>Jane Doe</t>
  </si>
  <si>
    <t>East</t>
  </si>
  <si>
    <t>Excelent</t>
  </si>
  <si>
    <t>Unicorn Horn</t>
  </si>
  <si>
    <t>Mike   Tyson</t>
  </si>
  <si>
    <t>West</t>
  </si>
  <si>
    <t>Poor</t>
  </si>
  <si>
    <t>Boxing Gloves</t>
  </si>
  <si>
    <t>inf</t>
  </si>
  <si>
    <t>Anna   Belle</t>
  </si>
  <si>
    <t>South</t>
  </si>
  <si>
    <t>Average</t>
  </si>
  <si>
    <t>Fairy Dust</t>
  </si>
  <si>
    <t>Chris P. Bacon</t>
  </si>
  <si>
    <t>Bacon Scented Candle</t>
  </si>
  <si>
    <t>Peter   Parker</t>
  </si>
  <si>
    <t>Web Shooter</t>
  </si>
  <si>
    <t>Mary Jane</t>
  </si>
  <si>
    <t>Potent Potion</t>
  </si>
  <si>
    <t>Bruce Wayne</t>
  </si>
  <si>
    <t>Bat Signal</t>
  </si>
  <si>
    <t>Clark Kent</t>
  </si>
  <si>
    <t>Glasses with X-ray Vision</t>
  </si>
  <si>
    <t>Diana Prince</t>
  </si>
  <si>
    <t>Lasso of Truth</t>
  </si>
  <si>
    <t>Tony Stark</t>
  </si>
  <si>
    <t>Iron Man Suit</t>
  </si>
  <si>
    <t>Steve Rogers</t>
  </si>
  <si>
    <t>Captain America Shield</t>
  </si>
  <si>
    <t>Natasha Romanoff</t>
  </si>
  <si>
    <t>Black Widow's Bite</t>
  </si>
  <si>
    <t>Bruce Banner</t>
  </si>
  <si>
    <t>Gamma Radiation Serum</t>
  </si>
  <si>
    <t>Nick Fury</t>
  </si>
  <si>
    <t>Eye Patch</t>
  </si>
  <si>
    <t>Phil Coulson</t>
  </si>
  <si>
    <t>Agent ID Card</t>
  </si>
  <si>
    <t>Peggy Carter</t>
  </si>
  <si>
    <t>Vintage Pistol</t>
  </si>
  <si>
    <t>Howard Stark</t>
  </si>
  <si>
    <t>Arc Reactor</t>
  </si>
  <si>
    <t>Hank Pym</t>
  </si>
  <si>
    <t>Ant-Man Suit</t>
  </si>
  <si>
    <t>Janet van Dyne</t>
  </si>
  <si>
    <t>Wasp's Wings</t>
  </si>
  <si>
    <t>Kurt Busiek</t>
  </si>
  <si>
    <t>Comic Book</t>
  </si>
  <si>
    <t>George Perez</t>
  </si>
  <si>
    <t>Drawing Pad</t>
  </si>
  <si>
    <t>Roger Stern</t>
  </si>
  <si>
    <t>Notepads</t>
  </si>
  <si>
    <t>Tom DeFalco</t>
  </si>
  <si>
    <t>Pen Set</t>
  </si>
  <si>
    <t>Loki Laufeyson</t>
  </si>
  <si>
    <t>Asgard</t>
  </si>
  <si>
    <t>Mischief</t>
  </si>
  <si>
    <t>Trickster's Hat</t>
  </si>
  <si>
    <t>Thor Odinson</t>
  </si>
  <si>
    <t>Worthy</t>
  </si>
  <si>
    <t>Mjolnir</t>
  </si>
  <si>
    <t>Spy</t>
  </si>
  <si>
    <t>Spy Kit</t>
  </si>
  <si>
    <t>Leader</t>
  </si>
  <si>
    <t>Leadership Manual</t>
  </si>
  <si>
    <t>Sales</t>
  </si>
  <si>
    <t>🧠 1️⃣ What is “Data”?</t>
  </si>
  <si>
    <r>
      <t>Data</t>
    </r>
    <r>
      <rPr>
        <sz val="11"/>
        <color theme="1"/>
        <rFont val="Calibri"/>
        <family val="2"/>
        <scheme val="minor"/>
      </rPr>
      <t xml:space="preserve"> simply means </t>
    </r>
    <r>
      <rPr>
        <i/>
        <sz val="11"/>
        <color theme="1"/>
        <rFont val="Calibri"/>
        <family val="2"/>
        <scheme val="minor"/>
      </rPr>
      <t>information</t>
    </r>
    <r>
      <rPr>
        <sz val="11"/>
        <color theme="1"/>
        <rFont val="Calibri"/>
        <family val="2"/>
        <scheme val="minor"/>
      </rPr>
      <t xml:space="preserve"> collected from various sources — like sales, surveys, sensors, or website clicks.</t>
    </r>
  </si>
  <si>
    <t>It can be in the form of:</t>
  </si>
  <si>
    <t>Numbers (Quantities, Prices)</t>
  </si>
  <si>
    <t>Text (Names, Products, Regions)</t>
  </si>
  <si>
    <t>Dates (Transaction dates)</t>
  </si>
  <si>
    <t>Categories (Ratings)</t>
  </si>
  <si>
    <t>👉 In your example:</t>
  </si>
  <si>
    <t>Date, ID, Name, Region, Rating, Product, Quantity, Price Per Unit</t>
  </si>
  <si>
    <r>
      <t xml:space="preserve">Each column is a </t>
    </r>
    <r>
      <rPr>
        <b/>
        <sz val="11"/>
        <color theme="1"/>
        <rFont val="Calibri"/>
        <family val="2"/>
        <scheme val="minor"/>
      </rPr>
      <t>variable</t>
    </r>
    <r>
      <rPr>
        <sz val="11"/>
        <color theme="1"/>
        <rFont val="Calibri"/>
        <family val="2"/>
        <scheme val="minor"/>
      </rPr>
      <t xml:space="preserve"> (type of information), and each row is a </t>
    </r>
    <r>
      <rPr>
        <b/>
        <sz val="11"/>
        <color theme="1"/>
        <rFont val="Calibri"/>
        <family val="2"/>
        <scheme val="minor"/>
      </rPr>
      <t>record</t>
    </r>
    <r>
      <rPr>
        <sz val="11"/>
        <color theme="1"/>
        <rFont val="Calibri"/>
        <family val="2"/>
        <scheme val="minor"/>
      </rPr>
      <t xml:space="preserve"> (one observation or transaction).</t>
    </r>
  </si>
  <si>
    <t>📊 2️⃣ Why do we use Data in Analysis?</t>
  </si>
  <si>
    <r>
      <t xml:space="preserve">Data helps us make </t>
    </r>
    <r>
      <rPr>
        <b/>
        <sz val="11"/>
        <color theme="1"/>
        <rFont val="Calibri"/>
        <family val="2"/>
        <scheme val="minor"/>
      </rPr>
      <t>informed decisions</t>
    </r>
    <r>
      <rPr>
        <sz val="11"/>
        <color theme="1"/>
        <rFont val="Calibri"/>
        <family val="2"/>
        <scheme val="minor"/>
      </rPr>
      <t xml:space="preserve"> rather than guessing.</t>
    </r>
  </si>
  <si>
    <t>Examples using your dataset:</t>
  </si>
  <si>
    <r>
      <t xml:space="preserve">Find </t>
    </r>
    <r>
      <rPr>
        <b/>
        <sz val="11"/>
        <color theme="1"/>
        <rFont val="Calibri"/>
        <family val="2"/>
        <scheme val="minor"/>
      </rPr>
      <t>best-selling products</t>
    </r>
  </si>
  <si>
    <r>
      <t xml:space="preserve">Identify </t>
    </r>
    <r>
      <rPr>
        <b/>
        <sz val="11"/>
        <color theme="1"/>
        <rFont val="Calibri"/>
        <family val="2"/>
        <scheme val="minor"/>
      </rPr>
      <t>regions with poor ratings</t>
    </r>
  </si>
  <si>
    <r>
      <t xml:space="preserve">Calculate </t>
    </r>
    <r>
      <rPr>
        <b/>
        <sz val="11"/>
        <color theme="1"/>
        <rFont val="Calibri"/>
        <family val="2"/>
        <scheme val="minor"/>
      </rPr>
      <t>total revenue</t>
    </r>
    <r>
      <rPr>
        <sz val="11"/>
        <color theme="1"/>
        <rFont val="Calibri"/>
        <family val="2"/>
        <scheme val="minor"/>
      </rPr>
      <t xml:space="preserve"> = Quantity × Price</t>
    </r>
  </si>
  <si>
    <r>
      <t xml:space="preserve">Track </t>
    </r>
    <r>
      <rPr>
        <b/>
        <sz val="11"/>
        <color theme="1"/>
        <rFont val="Calibri"/>
        <family val="2"/>
        <scheme val="minor"/>
      </rPr>
      <t>sales trends</t>
    </r>
    <r>
      <rPr>
        <sz val="11"/>
        <color theme="1"/>
        <rFont val="Calibri"/>
        <family val="2"/>
        <scheme val="minor"/>
      </rPr>
      <t xml:space="preserve"> month by month</t>
    </r>
  </si>
  <si>
    <t>Without data, decisions would rely on opinion or assumptions.</t>
  </si>
  <si>
    <r>
      <t xml:space="preserve">🧹 3️⃣ Why do we need to </t>
    </r>
    <r>
      <rPr>
        <b/>
        <i/>
        <sz val="18"/>
        <color theme="1"/>
        <rFont val="Calibri"/>
        <family val="2"/>
        <scheme val="minor"/>
      </rPr>
      <t>clean</t>
    </r>
    <r>
      <rPr>
        <b/>
        <sz val="18"/>
        <color theme="1"/>
        <rFont val="Calibri"/>
        <family val="2"/>
        <scheme val="minor"/>
      </rPr>
      <t xml:space="preserve"> Data?</t>
    </r>
  </si>
  <si>
    <r>
      <t xml:space="preserve">Because </t>
    </r>
    <r>
      <rPr>
        <b/>
        <sz val="11"/>
        <color theme="1"/>
        <rFont val="Calibri"/>
        <family val="2"/>
        <scheme val="minor"/>
      </rPr>
      <t>real-world data is never perfect.</t>
    </r>
  </si>
  <si>
    <r>
      <t xml:space="preserve">When data comes from multiple sources or is entered manually, it contains </t>
    </r>
    <r>
      <rPr>
        <b/>
        <sz val="11"/>
        <color theme="1"/>
        <rFont val="Calibri"/>
        <family val="2"/>
        <scheme val="minor"/>
      </rPr>
      <t>errors, duplicates, blanks, or inconsistencies</t>
    </r>
    <r>
      <rPr>
        <sz val="11"/>
        <color theme="1"/>
        <rFont val="Calibri"/>
        <family val="2"/>
        <scheme val="minor"/>
      </rPr>
      <t xml:space="preserve"> — just like in your dataset.</t>
    </r>
  </si>
  <si>
    <t>Here’s what’s wrong in your file 👇</t>
  </si>
  <si>
    <t>Type of Issue</t>
  </si>
  <si>
    <t>Example</t>
  </si>
  <si>
    <t>Why it’s a Problem</t>
  </si>
  <si>
    <t>Duplicate rows</t>
  </si>
  <si>
    <t>Anna Belle’s record appears twice</t>
  </si>
  <si>
    <t>Leads to double counting in totals</t>
  </si>
  <si>
    <t>Spelling errors</t>
  </si>
  <si>
    <t>“Excelent” instead of “Excellent”</t>
  </si>
  <si>
    <t>Affects grouping and summaries (Excel sees them as different values)</t>
  </si>
  <si>
    <t>Blank values</t>
  </si>
  <si>
    <r>
      <t xml:space="preserve">Missing </t>
    </r>
    <r>
      <rPr>
        <i/>
        <sz val="11"/>
        <color theme="1"/>
        <rFont val="Calibri"/>
        <family val="2"/>
        <scheme val="minor"/>
      </rPr>
      <t>Region</t>
    </r>
    <r>
      <rPr>
        <sz val="11"/>
        <color theme="1"/>
        <rFont val="Calibri"/>
        <family val="2"/>
        <scheme val="minor"/>
      </rPr>
      <t xml:space="preserve"> for Peter Parker, Bruce Banner, Phil Coulson</t>
    </r>
  </si>
  <si>
    <t>You can’t summarize by Region correctly</t>
  </si>
  <si>
    <t>Invalid values</t>
  </si>
  <si>
    <t>Region = “Asgard”, Rating = “Mischief”</t>
  </si>
  <si>
    <t>Doesn’t fit business logic (Asgard isn’t a valid region)</t>
  </si>
  <si>
    <t>Extra spaces</t>
  </si>
  <si>
    <t>“John Smith ”</t>
  </si>
  <si>
    <t>Causes mismatches during lookups or joins</t>
  </si>
  <si>
    <t>Invalid numbers</t>
  </si>
  <si>
    <t>Price = “inf”</t>
  </si>
  <si>
    <t>Breaks calculations (cannot multiply Quantity × inf)</t>
  </si>
  <si>
    <t>Zeros where not expected</t>
  </si>
  <si>
    <t>Quantity = 0</t>
  </si>
  <si>
    <t>Could be missing data or incorrect entry</t>
  </si>
  <si>
    <t>🧾 4️⃣ What happens if we don’t clean data?</t>
  </si>
  <si>
    <t>If you skip cleaning:</t>
  </si>
  <si>
    <r>
      <t xml:space="preserve">Your totals, averages, and trends will be </t>
    </r>
    <r>
      <rPr>
        <b/>
        <sz val="11"/>
        <color theme="1"/>
        <rFont val="Calibri"/>
        <family val="2"/>
        <scheme val="minor"/>
      </rPr>
      <t>wrong</t>
    </r>
    <r>
      <rPr>
        <sz val="11"/>
        <color theme="1"/>
        <rFont val="Calibri"/>
        <family val="2"/>
        <scheme val="minor"/>
      </rPr>
      <t>.</t>
    </r>
  </si>
  <si>
    <r>
      <t xml:space="preserve">Charts will look </t>
    </r>
    <r>
      <rPr>
        <b/>
        <sz val="11"/>
        <color theme="1"/>
        <rFont val="Calibri"/>
        <family val="2"/>
        <scheme val="minor"/>
      </rPr>
      <t>misleading</t>
    </r>
    <r>
      <rPr>
        <sz val="11"/>
        <color theme="1"/>
        <rFont val="Calibri"/>
        <family val="2"/>
        <scheme val="minor"/>
      </rPr>
      <t>.</t>
    </r>
  </si>
  <si>
    <r>
      <t xml:space="preserve">You’ll waste time troubleshooting errors like </t>
    </r>
    <r>
      <rPr>
        <sz val="10"/>
        <color theme="1"/>
        <rFont val="Arial Unicode MS"/>
        <family val="2"/>
      </rPr>
      <t>#VALUE!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#DIV/0!</t>
    </r>
    <r>
      <rPr>
        <sz val="11"/>
        <color theme="1"/>
        <rFont val="Calibri"/>
        <family val="2"/>
        <scheme val="minor"/>
      </rPr>
      <t>.</t>
    </r>
  </si>
  <si>
    <r>
      <t xml:space="preserve">Reports will lose </t>
    </r>
    <r>
      <rPr>
        <b/>
        <sz val="11"/>
        <color theme="1"/>
        <rFont val="Calibri"/>
        <family val="2"/>
        <scheme val="minor"/>
      </rPr>
      <t>credibility</t>
    </r>
    <r>
      <rPr>
        <sz val="11"/>
        <color theme="1"/>
        <rFont val="Calibri"/>
        <family val="2"/>
        <scheme val="minor"/>
      </rPr>
      <t>.</t>
    </r>
  </si>
  <si>
    <t>👉 Example:</t>
  </si>
  <si>
    <t>If “Excelent” and “Excellent” are both in the Rating column, your summary chart may show two categories — even though they mean the same thing.</t>
  </si>
  <si>
    <t>🧰 6️⃣ How Do We Clean Data? (Basic Techniques)</t>
  </si>
  <si>
    <t>Step</t>
  </si>
  <si>
    <t>Method</t>
  </si>
  <si>
    <t>Purpose</t>
  </si>
  <si>
    <t>1️⃣ Remove Duplicates</t>
  </si>
  <si>
    <t>Data → Remove Duplicates</t>
  </si>
  <si>
    <t>Avoid double-counting</t>
  </si>
  <si>
    <t>2️⃣ Trim Extra Spaces</t>
  </si>
  <si>
    <t>Clean names or text</t>
  </si>
  <si>
    <t>3️⃣ Fix Case</t>
  </si>
  <si>
    <t>Standardize names</t>
  </si>
  <si>
    <t>4️⃣ Correct Spelling</t>
  </si>
  <si>
    <t>Manual or Excel spell check</t>
  </si>
  <si>
    <t>Ensure consistent categories</t>
  </si>
  <si>
    <t>5️⃣ Handle Blanks</t>
  </si>
  <si>
    <t>Fill with “Unknown” or estimate</t>
  </si>
  <si>
    <t>Prevent broken summaries</t>
  </si>
  <si>
    <t>6️⃣ Fix Data Types</t>
  </si>
  <si>
    <t>Convert text to numbers/dates</t>
  </si>
  <si>
    <t>Allow formulas to work</t>
  </si>
  <si>
    <t>7️⃣ Validate Values</t>
  </si>
  <si>
    <t>Data → Data Validation</t>
  </si>
  <si>
    <t>Restrict entries (e.g. only North/South/East/West)</t>
  </si>
  <si>
    <t>8️⃣ Handle Errors</t>
  </si>
  <si>
    <t>Replace messy errors with blanks or labels</t>
  </si>
  <si>
    <t>Toyota</t>
  </si>
  <si>
    <t>Subaru</t>
  </si>
  <si>
    <t>Ford</t>
  </si>
  <si>
    <t>Mazda</t>
  </si>
  <si>
    <t>Honda</t>
  </si>
  <si>
    <t>Audi</t>
  </si>
  <si>
    <t>Category</t>
  </si>
  <si>
    <t>Mouse</t>
  </si>
  <si>
    <t>Printer</t>
  </si>
  <si>
    <t>Storage</t>
  </si>
  <si>
    <t>Keyboard</t>
  </si>
  <si>
    <t>Gender</t>
  </si>
  <si>
    <t>Age</t>
  </si>
  <si>
    <t>Class</t>
  </si>
  <si>
    <t>House</t>
  </si>
  <si>
    <t>Unit Test 1</t>
  </si>
  <si>
    <t>Unit Test 2</t>
  </si>
  <si>
    <t>Final Test</t>
  </si>
  <si>
    <t>Abhimanyu</t>
  </si>
  <si>
    <t>M</t>
  </si>
  <si>
    <t>Bhoomi</t>
  </si>
  <si>
    <t>Arjun</t>
  </si>
  <si>
    <t>Vayu</t>
  </si>
  <si>
    <t>Champa</t>
  </si>
  <si>
    <t>F</t>
  </si>
  <si>
    <t>Jal</t>
  </si>
  <si>
    <t>Gopal</t>
  </si>
  <si>
    <t>Gopi</t>
  </si>
  <si>
    <t>Agni</t>
  </si>
  <si>
    <t>Hari</t>
  </si>
  <si>
    <t>Indu</t>
  </si>
  <si>
    <t>Keshav</t>
  </si>
  <si>
    <t>Lalita</t>
  </si>
  <si>
    <t>Madhav</t>
  </si>
  <si>
    <t>Sam</t>
  </si>
  <si>
    <t>RNM</t>
  </si>
  <si>
    <t>Student1</t>
  </si>
  <si>
    <t>Student8</t>
  </si>
  <si>
    <t>Student2</t>
  </si>
  <si>
    <t>Student4</t>
  </si>
  <si>
    <t>Student5</t>
  </si>
  <si>
    <t>Sudevi</t>
  </si>
  <si>
    <t>Varun</t>
  </si>
  <si>
    <t>Vidya</t>
  </si>
  <si>
    <t>Visakha</t>
  </si>
  <si>
    <t>Vrinda</t>
  </si>
  <si>
    <t>📊 4. Pivot Table</t>
  </si>
  <si>
    <t>Definition:</t>
  </si>
  <si>
    <r>
      <t xml:space="preserve">A </t>
    </r>
    <r>
      <rPr>
        <b/>
        <sz val="11"/>
        <color theme="1"/>
        <rFont val="Calibri"/>
        <family val="2"/>
      </rPr>
      <t>Pivot Table</t>
    </r>
    <r>
      <rPr>
        <sz val="11"/>
        <color theme="1"/>
        <rFont val="Calibri"/>
        <family val="2"/>
        <scheme val="minor"/>
      </rPr>
      <t xml:space="preserve"> is a powerful Excel tool that helps </t>
    </r>
    <r>
      <rPr>
        <b/>
        <sz val="11"/>
        <color theme="1"/>
        <rFont val="Calibri"/>
        <family val="2"/>
      </rPr>
      <t>summarize, analyze, and visualize</t>
    </r>
    <r>
      <rPr>
        <sz val="11"/>
        <color theme="1"/>
        <rFont val="Calibri"/>
        <family val="2"/>
        <scheme val="minor"/>
      </rPr>
      <t xml:space="preserve"> large amounts of data easily. It lets you rearrange (or </t>
    </r>
    <r>
      <rPr>
        <i/>
        <sz val="11"/>
        <color theme="1"/>
        <rFont val="Calibri"/>
        <family val="2"/>
      </rPr>
      <t>pivot</t>
    </r>
    <r>
      <rPr>
        <sz val="11"/>
        <color theme="1"/>
        <rFont val="Calibri"/>
        <family val="2"/>
        <scheme val="minor"/>
      </rPr>
      <t>) your data to view it from different perspectives.</t>
    </r>
  </si>
  <si>
    <t>How it Works:</t>
  </si>
  <si>
    <t>You can drag and drop fields into:</t>
  </si>
  <si>
    <r>
      <t>Rows</t>
    </r>
    <r>
      <rPr>
        <sz val="11"/>
        <color theme="1"/>
        <rFont val="Calibri"/>
        <family val="2"/>
        <scheme val="minor"/>
      </rPr>
      <t xml:space="preserve"> → categories (e.g., Departments)</t>
    </r>
  </si>
  <si>
    <r>
      <t>Columns</t>
    </r>
    <r>
      <rPr>
        <sz val="11"/>
        <color theme="1"/>
        <rFont val="Calibri"/>
        <family val="2"/>
        <scheme val="minor"/>
      </rPr>
      <t xml:space="preserve"> → subcategories (e.g., Months)</t>
    </r>
  </si>
  <si>
    <r>
      <t>Values</t>
    </r>
    <r>
      <rPr>
        <sz val="11"/>
        <color theme="1"/>
        <rFont val="Calibri"/>
        <family val="2"/>
        <scheme val="minor"/>
      </rPr>
      <t xml:space="preserve"> → numbers (e.g., Sales, Marks)</t>
    </r>
  </si>
  <si>
    <r>
      <t>Filters</t>
    </r>
    <r>
      <rPr>
        <sz val="11"/>
        <color theme="1"/>
        <rFont val="Calibri"/>
        <family val="2"/>
        <scheme val="minor"/>
      </rPr>
      <t xml:space="preserve"> → criteria to refine data (e.g., Year)</t>
    </r>
  </si>
  <si>
    <t>Example:</t>
  </si>
  <si>
    <t>If you have sales data by product and region, a Pivot Table can instantly show:</t>
  </si>
  <si>
    <t>Total sales per product</t>
  </si>
  <si>
    <t>Sales comparison by region</t>
  </si>
  <si>
    <t>Monthly or yearly summaries</t>
  </si>
  <si>
    <t>Use Cases:</t>
  </si>
  <si>
    <t>To analyze sales, attendance, or performance</t>
  </si>
  <si>
    <t>To summarize marks by subject or department</t>
  </si>
  <si>
    <t>To create quick dashboards without formulas</t>
  </si>
  <si>
    <t xml:space="preserve">Pivot Table </t>
  </si>
  <si>
    <t>Question 1: Average Final Test marks by House</t>
  </si>
  <si>
    <t>Pivot Setup</t>
  </si>
  <si>
    <t>Rows → House</t>
  </si>
  <si>
    <t>Columns → None</t>
  </si>
  <si>
    <t>Values → Average of Final Test</t>
  </si>
  <si>
    <t>Filters → None</t>
  </si>
  <si>
    <t>Insight: This shows which House performs best overall in the Final Test.</t>
  </si>
  <si>
    <t>Question 2: Average Final Test marks by House and Gender</t>
  </si>
  <si>
    <t>Columns → Gender</t>
  </si>
  <si>
    <t>Insight: This helps compare how boys and girls perform within each House.</t>
  </si>
  <si>
    <t>Question 3: Average marks of Unit Test 1, Unit Test 2, and Final Test by House</t>
  </si>
  <si>
    <t>Columns → Unit Test 1, Unit Test 2, Final Test</t>
  </si>
  <si>
    <t>Values → Average of Marks</t>
  </si>
  <si>
    <t>Insight: This helps understand performance trends across tests and identify improvement or decline by House.</t>
  </si>
  <si>
    <t>Question 4: House and Gender performance filtered by Class</t>
  </si>
  <si>
    <t>Filters → Class</t>
  </si>
  <si>
    <t>Insight: This allows interactive analysis to see how different Classes perform across Houses and Genders.</t>
  </si>
  <si>
    <t>Product ID</t>
  </si>
  <si>
    <t>Product Name</t>
  </si>
  <si>
    <t>PD-100</t>
  </si>
  <si>
    <t>Input Device</t>
  </si>
  <si>
    <t>PD-101</t>
  </si>
  <si>
    <t>PD-102</t>
  </si>
  <si>
    <t>Hard Drive</t>
  </si>
  <si>
    <t>PD-103</t>
  </si>
  <si>
    <t>USB Flash Drive</t>
  </si>
  <si>
    <t>PD-104</t>
  </si>
  <si>
    <t>Monitor</t>
  </si>
  <si>
    <t>Display</t>
  </si>
  <si>
    <t>PD-105</t>
  </si>
  <si>
    <t>Graphics Card</t>
  </si>
  <si>
    <t>Internal Hardware</t>
  </si>
  <si>
    <t>PD-106</t>
  </si>
  <si>
    <t>RAM Module</t>
  </si>
  <si>
    <t>PD-107</t>
  </si>
  <si>
    <t>SSD</t>
  </si>
  <si>
    <t>PD-108</t>
  </si>
  <si>
    <t>HDMI Cable</t>
  </si>
  <si>
    <t>Cables &amp; Connectors</t>
  </si>
  <si>
    <t>PD-109</t>
  </si>
  <si>
    <t>Webcam</t>
  </si>
  <si>
    <t>Peripherals</t>
  </si>
  <si>
    <t>PD-110</t>
  </si>
  <si>
    <t>Laptop Stand</t>
  </si>
  <si>
    <t>Laptop Accessories</t>
  </si>
  <si>
    <t>PD-111</t>
  </si>
  <si>
    <t>Cooling Pad</t>
  </si>
  <si>
    <t>PD-112</t>
  </si>
  <si>
    <t>Headset</t>
  </si>
  <si>
    <t>Audio</t>
  </si>
  <si>
    <t>PD-113</t>
  </si>
  <si>
    <t>PD-114</t>
  </si>
  <si>
    <t>Scanner</t>
  </si>
  <si>
    <t>PD-115</t>
  </si>
  <si>
    <t>Speakers</t>
  </si>
  <si>
    <t>PD-116</t>
  </si>
  <si>
    <t>Wireless Router</t>
  </si>
  <si>
    <t>Network</t>
  </si>
  <si>
    <t>PD-117</t>
  </si>
  <si>
    <t>Ethernet Cable</t>
  </si>
  <si>
    <t>PD-118</t>
  </si>
  <si>
    <t>Laptop Bag</t>
  </si>
  <si>
    <t>Order ID</t>
  </si>
  <si>
    <t>Quantity Sold</t>
  </si>
  <si>
    <t>Rate</t>
  </si>
  <si>
    <t>State</t>
  </si>
  <si>
    <t>Ship Mode</t>
  </si>
  <si>
    <t>Segment</t>
  </si>
  <si>
    <t>Manipur</t>
  </si>
  <si>
    <t>First Class</t>
  </si>
  <si>
    <t>Home Office</t>
  </si>
  <si>
    <t>Kerala</t>
  </si>
  <si>
    <t>Standard Class</t>
  </si>
  <si>
    <t>Consumer</t>
  </si>
  <si>
    <t>Telangana</t>
  </si>
  <si>
    <t>Second Class</t>
  </si>
  <si>
    <t>Himachal Pradesh</t>
  </si>
  <si>
    <t>Jharkhand</t>
  </si>
  <si>
    <t>Corporate</t>
  </si>
  <si>
    <t>Karnataka</t>
  </si>
  <si>
    <t>Tamil Nadu</t>
  </si>
  <si>
    <t>Uttarakhand</t>
  </si>
  <si>
    <t>Madhya Pradesh</t>
  </si>
  <si>
    <t>Bihar</t>
  </si>
  <si>
    <t>Punjab</t>
  </si>
  <si>
    <t>Sikkim</t>
  </si>
  <si>
    <t>Meghalaya</t>
  </si>
  <si>
    <t>Maharashtra</t>
  </si>
  <si>
    <t>West Bengal</t>
  </si>
  <si>
    <t>Tripura</t>
  </si>
  <si>
    <t>Mizoram</t>
  </si>
  <si>
    <t>Andhra Pradesh</t>
  </si>
  <si>
    <t>Chhattisgarh</t>
  </si>
  <si>
    <t>Gujarat</t>
  </si>
  <si>
    <t>Assam</t>
  </si>
  <si>
    <t>Goa</t>
  </si>
  <si>
    <t>Haryana</t>
  </si>
  <si>
    <t>Nagaland</t>
  </si>
  <si>
    <t>Odisha</t>
  </si>
  <si>
    <t>Rajasthan</t>
  </si>
  <si>
    <t>Uttar Pradesh</t>
  </si>
  <si>
    <t>Arunachal Pradesh</t>
  </si>
  <si>
    <t>Lookup Table</t>
  </si>
  <si>
    <t>Sales Table</t>
  </si>
  <si>
    <t>SalesRep</t>
  </si>
  <si>
    <t>Sales Rep</t>
  </si>
  <si>
    <t>Car Make</t>
  </si>
  <si>
    <t>Pavan Lalwani</t>
  </si>
  <si>
    <t>8/31/13</t>
  </si>
  <si>
    <t>Lincoln</t>
  </si>
  <si>
    <t>$155.10</t>
  </si>
  <si>
    <t>Agustin McIan</t>
  </si>
  <si>
    <t>11/27/14</t>
  </si>
  <si>
    <t>Marielle Swiffen</t>
  </si>
  <si>
    <t>$39.30</t>
  </si>
  <si>
    <t>Aldridge Eagles</t>
  </si>
  <si>
    <t>Zabrina Colbran</t>
  </si>
  <si>
    <t>Porsche</t>
  </si>
  <si>
    <t>$74.25</t>
  </si>
  <si>
    <t>Allayne Dulling</t>
  </si>
  <si>
    <t>MidWest</t>
  </si>
  <si>
    <t>Bamby Olivella</t>
  </si>
  <si>
    <t>Chevrolet</t>
  </si>
  <si>
    <t>$100.98</t>
  </si>
  <si>
    <t>Allina Bonas</t>
  </si>
  <si>
    <t>Morley Amor</t>
  </si>
  <si>
    <t>Volkswagen</t>
  </si>
  <si>
    <t>$44.98</t>
  </si>
  <si>
    <t>Antoinette Simester</t>
  </si>
  <si>
    <t>11/14/14</t>
  </si>
  <si>
    <t>Merl Littleton</t>
  </si>
  <si>
    <t>BMW</t>
  </si>
  <si>
    <t>$29.25</t>
  </si>
  <si>
    <t>Baldwin Muris</t>
  </si>
  <si>
    <t>11/13/13</t>
  </si>
  <si>
    <t>Willey Whitlow</t>
  </si>
  <si>
    <t>$68.39</t>
  </si>
  <si>
    <t>Selinda Smullen</t>
  </si>
  <si>
    <t>$45.44</t>
  </si>
  <si>
    <t>Baron Pirie</t>
  </si>
  <si>
    <t>11/26/14</t>
  </si>
  <si>
    <t>Reuben Maxsted</t>
  </si>
  <si>
    <t>$22.38</t>
  </si>
  <si>
    <t>Bert Battisson</t>
  </si>
  <si>
    <t>$49.25</t>
  </si>
  <si>
    <t>Bobina Portis</t>
  </si>
  <si>
    <t>Guthrey Kervin</t>
  </si>
  <si>
    <t>$67.32</t>
  </si>
  <si>
    <t>Booth Laverenz</t>
  </si>
  <si>
    <t>12/14/13</t>
  </si>
  <si>
    <t>Lenna Tebboth</t>
  </si>
  <si>
    <t>$23.50</t>
  </si>
  <si>
    <t>Cal Neate</t>
  </si>
  <si>
    <t>Rebbecca Mullin</t>
  </si>
  <si>
    <t>GMC</t>
  </si>
  <si>
    <t>$90.42</t>
  </si>
  <si>
    <t>Cale Cocke</t>
  </si>
  <si>
    <t>Ernst Ox</t>
  </si>
  <si>
    <t>$66.30</t>
  </si>
  <si>
    <t>Cam Dooney</t>
  </si>
  <si>
    <t>3/13/14</t>
  </si>
  <si>
    <t>Nick Spenley</t>
  </si>
  <si>
    <t>Mercedes-Benz</t>
  </si>
  <si>
    <t>$19.95</t>
  </si>
  <si>
    <t>Carrissa Maasze</t>
  </si>
  <si>
    <t>Izak Fairbourn</t>
  </si>
  <si>
    <t>Volvo</t>
  </si>
  <si>
    <t>$25.00</t>
  </si>
  <si>
    <t>Celestia Roach</t>
  </si>
  <si>
    <t>Jerrine Lebang</t>
  </si>
  <si>
    <t>$79.95</t>
  </si>
  <si>
    <t>Dale Mapother</t>
  </si>
  <si>
    <t>11/15/14</t>
  </si>
  <si>
    <t>$306.00</t>
  </si>
  <si>
    <t>Daren Borrott</t>
  </si>
  <si>
    <t>Torey Woollends</t>
  </si>
  <si>
    <t>Mercury</t>
  </si>
  <si>
    <t>Dorella Drysdall</t>
  </si>
  <si>
    <t>11/22/14</t>
  </si>
  <si>
    <t>$67.13</t>
  </si>
  <si>
    <t>Eddie Rignoldes</t>
  </si>
  <si>
    <t>Bentley</t>
  </si>
  <si>
    <t>$102.00</t>
  </si>
  <si>
    <t>Emyle Ollivier</t>
  </si>
  <si>
    <t>12/27/13</t>
  </si>
  <si>
    <t>Tina Faldo</t>
  </si>
  <si>
    <t>Isuzu</t>
  </si>
  <si>
    <t>$66.64</t>
  </si>
  <si>
    <t>9/28/13</t>
  </si>
  <si>
    <t>Dodge</t>
  </si>
  <si>
    <t>$27.09</t>
  </si>
  <si>
    <t>Farlay Leverton</t>
  </si>
  <si>
    <t>Mable Rafferty</t>
  </si>
  <si>
    <t>Buick</t>
  </si>
  <si>
    <t>$44.52</t>
  </si>
  <si>
    <t>Felicia Birkmyre</t>
  </si>
  <si>
    <t>10/31/13</t>
  </si>
  <si>
    <t>Sim Ardling</t>
  </si>
  <si>
    <t>Lexus</t>
  </si>
  <si>
    <t>$491.40</t>
  </si>
  <si>
    <t>Fergus Mattinson</t>
  </si>
  <si>
    <t>6/16/14</t>
  </si>
  <si>
    <t>Sukey Garron</t>
  </si>
  <si>
    <t>Aston Martin</t>
  </si>
  <si>
    <t>$47.00</t>
  </si>
  <si>
    <t>Garv Rodgman</t>
  </si>
  <si>
    <t>11/21/13</t>
  </si>
  <si>
    <t>Swen Lehrmann</t>
  </si>
  <si>
    <t>Lotus</t>
  </si>
  <si>
    <t>$73.13</t>
  </si>
  <si>
    <t>11/23/14</t>
  </si>
  <si>
    <t>Trixi Tofanelli</t>
  </si>
  <si>
    <t>Scion</t>
  </si>
  <si>
    <t>$58.05</t>
  </si>
  <si>
    <t>Gwenora Sukbhans</t>
  </si>
  <si>
    <t>1/25/13</t>
  </si>
  <si>
    <t>$50.00</t>
  </si>
  <si>
    <t>Hyacinthia Drake</t>
  </si>
  <si>
    <t>4/25/13</t>
  </si>
  <si>
    <t>Phil Tift</t>
  </si>
  <si>
    <t>Pontiac</t>
  </si>
  <si>
    <t>Rhodie Twohig</t>
  </si>
  <si>
    <t>$20.37</t>
  </si>
  <si>
    <t>Janel Snelle</t>
  </si>
  <si>
    <t>11/22/13</t>
  </si>
  <si>
    <t>Kristi Sandry</t>
  </si>
  <si>
    <t>Chrysler</t>
  </si>
  <si>
    <t>$59.85</t>
  </si>
  <si>
    <t>Janetta Noel</t>
  </si>
  <si>
    <t>Jaguar</t>
  </si>
  <si>
    <t>$438.75</t>
  </si>
  <si>
    <t>11/16/14</t>
  </si>
  <si>
    <t>$39.50</t>
  </si>
  <si>
    <t>Jolyn Linke</t>
  </si>
  <si>
    <t>3/26/14</t>
  </si>
  <si>
    <t>Kamillah Reimers</t>
  </si>
  <si>
    <t>12/29/13</t>
  </si>
  <si>
    <t>Morgan McNeilley</t>
  </si>
  <si>
    <t>Hyundai</t>
  </si>
  <si>
    <t>$81.68</t>
  </si>
  <si>
    <t>Karina Idwal Evans</t>
  </si>
  <si>
    <t>11/29/13</t>
  </si>
  <si>
    <t>$75.00</t>
  </si>
  <si>
    <t>Krista Canero</t>
  </si>
  <si>
    <t>6/17/13</t>
  </si>
  <si>
    <t>Maserati</t>
  </si>
  <si>
    <t>$84.00</t>
  </si>
  <si>
    <t>11/18/14</t>
  </si>
  <si>
    <t>Wallie Penwright</t>
  </si>
  <si>
    <t>$59.25</t>
  </si>
  <si>
    <t>11/20/14</t>
  </si>
  <si>
    <t>Park Enrigo</t>
  </si>
  <si>
    <t>$22.61</t>
  </si>
  <si>
    <t>Lonee Marin</t>
  </si>
  <si>
    <t>Loree Vasilov</t>
  </si>
  <si>
    <t>12/23/13</t>
  </si>
  <si>
    <t>Jeep</t>
  </si>
  <si>
    <t>$41.58</t>
  </si>
  <si>
    <t>Lyssa Rosenthaler</t>
  </si>
  <si>
    <t>Plymouth</t>
  </si>
  <si>
    <t>$39.90</t>
  </si>
  <si>
    <t>Malachi Farnon</t>
  </si>
  <si>
    <t>$19.45</t>
  </si>
  <si>
    <t>1/28/13</t>
  </si>
  <si>
    <t>Noellyn Pendreigh</t>
  </si>
  <si>
    <t>Adaline Westberg</t>
  </si>
  <si>
    <t>$88.20</t>
  </si>
  <si>
    <t>$22.49</t>
  </si>
  <si>
    <t>Missy Cleyne</t>
  </si>
  <si>
    <t>4/18/14</t>
  </si>
  <si>
    <t>11/25/14</t>
  </si>
  <si>
    <t>Shaun Lawley</t>
  </si>
  <si>
    <t>$80.44</t>
  </si>
  <si>
    <t>Nat Middlemist</t>
  </si>
  <si>
    <t>$45.90</t>
  </si>
  <si>
    <t>$22.95</t>
  </si>
  <si>
    <t>$26.95</t>
  </si>
  <si>
    <t>11/16/13</t>
  </si>
  <si>
    <t>Acura</t>
  </si>
  <si>
    <t>$275.00</t>
  </si>
  <si>
    <t>$68.00</t>
  </si>
  <si>
    <t>Infiniti</t>
  </si>
  <si>
    <t>$159.90</t>
  </si>
  <si>
    <t>11/23/13</t>
  </si>
  <si>
    <t>12/16/14</t>
  </si>
  <si>
    <t>$495.00</t>
  </si>
  <si>
    <t>12/24/14</t>
  </si>
  <si>
    <t>Vidovic Kettlewell</t>
  </si>
  <si>
    <t>$367.50</t>
  </si>
  <si>
    <t>Whitaker Burchill</t>
  </si>
  <si>
    <t>$29.10</t>
  </si>
  <si>
    <t>7/30/14</t>
  </si>
  <si>
    <t>Cadillac</t>
  </si>
  <si>
    <t>12/25/13</t>
  </si>
  <si>
    <t>11/29/14</t>
  </si>
  <si>
    <t>$49.50</t>
  </si>
  <si>
    <t>10/21/14</t>
  </si>
  <si>
    <t>Ware Bottleson</t>
  </si>
  <si>
    <t>Oldsmobile</t>
  </si>
  <si>
    <t>$56.43</t>
  </si>
  <si>
    <t>$42.00</t>
  </si>
  <si>
    <t>11/17/14</t>
  </si>
  <si>
    <t>$91.80</t>
  </si>
  <si>
    <t>11/30/14</t>
  </si>
  <si>
    <t>$68.16</t>
  </si>
  <si>
    <t>11/27/13</t>
  </si>
  <si>
    <t>11/19/13</t>
  </si>
  <si>
    <t>Iggie Machen</t>
  </si>
  <si>
    <t>$24.50</t>
  </si>
  <si>
    <t>Kellen Babidge</t>
  </si>
  <si>
    <t>$54.18</t>
  </si>
  <si>
    <t>12/17/14</t>
  </si>
  <si>
    <t>Ginevra Melia</t>
  </si>
  <si>
    <t>$70.50</t>
  </si>
  <si>
    <t>11/13/14</t>
  </si>
  <si>
    <t>Gib Gravell</t>
  </si>
  <si>
    <t>12/13/14</t>
  </si>
  <si>
    <t>Stanfield Cahalin</t>
  </si>
  <si>
    <t>10/17/13</t>
  </si>
  <si>
    <t>Patti Kuzemka</t>
  </si>
  <si>
    <t>$203.70</t>
  </si>
  <si>
    <t>11/30/13</t>
  </si>
  <si>
    <t>Candide Lillicrop</t>
  </si>
  <si>
    <t>$68.85</t>
  </si>
  <si>
    <t>12/28/13</t>
  </si>
  <si>
    <t>Siusan Brightwell</t>
  </si>
  <si>
    <t>$27.50</t>
  </si>
  <si>
    <t>Kettie McKinnon</t>
  </si>
  <si>
    <t>$573.75</t>
  </si>
  <si>
    <t>12/22/13</t>
  </si>
  <si>
    <t>Clarey Argente</t>
  </si>
  <si>
    <t>$399.00</t>
  </si>
  <si>
    <t>12/17/13</t>
  </si>
  <si>
    <t>Nichole Oliva</t>
  </si>
  <si>
    <t>$38.70</t>
  </si>
  <si>
    <t>Even Smorthit</t>
  </si>
  <si>
    <t>Mitsubishi</t>
  </si>
  <si>
    <t>11/20/13</t>
  </si>
  <si>
    <t>Loleta Yokelman</t>
  </si>
  <si>
    <t>$33.66</t>
  </si>
  <si>
    <t>1/21/13</t>
  </si>
  <si>
    <t>Don Glaister</t>
  </si>
  <si>
    <t>Nissan</t>
  </si>
  <si>
    <t>$100.47</t>
  </si>
  <si>
    <t>Abigale Mewrcik</t>
  </si>
  <si>
    <t>Josi Cerith</t>
  </si>
  <si>
    <t>$24.38</t>
  </si>
  <si>
    <t>Torrence Melarkey</t>
  </si>
  <si>
    <t>$66.78</t>
  </si>
  <si>
    <t>9/27/13</t>
  </si>
  <si>
    <t>Dennie Nangle</t>
  </si>
  <si>
    <t>$34.00</t>
  </si>
  <si>
    <t>Brandon Ipsgrave</t>
  </si>
  <si>
    <t>$568.84</t>
  </si>
  <si>
    <t>Marrissa Bridger</t>
  </si>
  <si>
    <t>$45.59</t>
  </si>
  <si>
    <t>Julius Senten</t>
  </si>
  <si>
    <t>11/18/13</t>
  </si>
  <si>
    <t>Carlota Munkley</t>
  </si>
  <si>
    <t>$67.47</t>
  </si>
  <si>
    <t>Willem Rushbrook</t>
  </si>
  <si>
    <t>Margaretta Baldelli</t>
  </si>
  <si>
    <t>$48.50</t>
  </si>
  <si>
    <t>Aldis Josupeit</t>
  </si>
  <si>
    <t>Nathalia Hiley</t>
  </si>
  <si>
    <t>11/28/14</t>
  </si>
  <si>
    <t>Juieta Rollings</t>
  </si>
  <si>
    <t>Budd Spurgin</t>
  </si>
  <si>
    <t>$67.82</t>
  </si>
  <si>
    <t>7/18/14</t>
  </si>
  <si>
    <t>Brenna Haggie</t>
  </si>
  <si>
    <t>Piper Gother</t>
  </si>
  <si>
    <t>Madlen Benjamin</t>
  </si>
  <si>
    <t>$19.75</t>
  </si>
  <si>
    <t>12/19/13</t>
  </si>
  <si>
    <t>Doroteya Brettelle</t>
  </si>
  <si>
    <t>$63.00</t>
  </si>
  <si>
    <t>Jock Sowter</t>
  </si>
  <si>
    <t>$48.75</t>
  </si>
  <si>
    <t>Meier Stainton - Skinn</t>
  </si>
  <si>
    <t>Kia</t>
  </si>
  <si>
    <t>Barrie Flieger</t>
  </si>
  <si>
    <t>$81.26</t>
  </si>
  <si>
    <t>11/28/13</t>
  </si>
  <si>
    <t>Daisy Berggren</t>
  </si>
  <si>
    <t>Saab</t>
  </si>
  <si>
    <t>Oberon Orpyne</t>
  </si>
  <si>
    <t>$60.00</t>
  </si>
  <si>
    <t>Mallory Kinman</t>
  </si>
  <si>
    <t>Felicle Vaggs</t>
  </si>
  <si>
    <t>MINI</t>
  </si>
  <si>
    <t>7/13/13</t>
  </si>
  <si>
    <t>Gaby Hoxey</t>
  </si>
  <si>
    <t>Jeremy Eva</t>
  </si>
  <si>
    <t>11/19/14</t>
  </si>
  <si>
    <t>Shantee Norcott</t>
  </si>
  <si>
    <t>$82.50</t>
  </si>
  <si>
    <t>12/19/14</t>
  </si>
  <si>
    <t>Margaux Batho</t>
  </si>
  <si>
    <t>$446.50</t>
  </si>
  <si>
    <t>11/21/14</t>
  </si>
  <si>
    <t>Nick Thurber</t>
  </si>
  <si>
    <t>$24.75</t>
  </si>
  <si>
    <t>12/31/14</t>
  </si>
  <si>
    <t>Merle Lumsdall</t>
  </si>
  <si>
    <t>Joell Deverille</t>
  </si>
  <si>
    <t>11/25/13</t>
  </si>
  <si>
    <t>Belinda Stonuary</t>
  </si>
  <si>
    <t>Henrik Laise</t>
  </si>
  <si>
    <t>$376.00</t>
  </si>
  <si>
    <t>Samara Dullingham</t>
  </si>
  <si>
    <t>Briano Chartres</t>
  </si>
  <si>
    <t>Ebenezer Simonard</t>
  </si>
  <si>
    <t>Rolls-Royce</t>
  </si>
  <si>
    <t>$160.65</t>
  </si>
  <si>
    <t>Terri-jo Buxam</t>
  </si>
  <si>
    <t>Christiano Kohrding</t>
  </si>
  <si>
    <t>Kathryne Libbie</t>
  </si>
  <si>
    <t>12/15/14</t>
  </si>
  <si>
    <t>Carlotta Sooley</t>
  </si>
  <si>
    <t>12/27/14</t>
  </si>
  <si>
    <t>Cindie Bengtson</t>
  </si>
  <si>
    <t>8/25/13</t>
  </si>
  <si>
    <t>Aksel Hughf</t>
  </si>
  <si>
    <t>12/22/14</t>
  </si>
  <si>
    <t>Cirillo Doward</t>
  </si>
  <si>
    <t>12/14/14</t>
  </si>
  <si>
    <t>Domenic Brusby</t>
  </si>
  <si>
    <t>$29.70</t>
  </si>
  <si>
    <t>Izaak Gulliman</t>
  </si>
  <si>
    <t>$274.95</t>
  </si>
  <si>
    <t>9/14/13</t>
  </si>
  <si>
    <t>Shena Piddington</t>
  </si>
  <si>
    <t>$20.48</t>
  </si>
  <si>
    <t>Greta Martensen</t>
  </si>
  <si>
    <t>$98.94</t>
  </si>
  <si>
    <t>11/14/13</t>
  </si>
  <si>
    <t>Tillie Pude</t>
  </si>
  <si>
    <t>Pacorro Coughan</t>
  </si>
  <si>
    <t>$24.25</t>
  </si>
  <si>
    <t>Farand Antonescu</t>
  </si>
  <si>
    <t>$58.50</t>
  </si>
  <si>
    <t>Tracee Abby</t>
  </si>
  <si>
    <t>Saloma Janaway</t>
  </si>
  <si>
    <t>$38.90</t>
  </si>
  <si>
    <t>Grover Dot</t>
  </si>
  <si>
    <t>Auberta Plait</t>
  </si>
  <si>
    <t>$265.20</t>
  </si>
  <si>
    <t>1/29/13</t>
  </si>
  <si>
    <t>Sheeree Garfit</t>
  </si>
  <si>
    <t>$24.63</t>
  </si>
  <si>
    <t>Quentin Slobom</t>
  </si>
  <si>
    <t>Catherine Skettles</t>
  </si>
  <si>
    <t>$99.96</t>
  </si>
  <si>
    <t>Denni Winram</t>
  </si>
  <si>
    <t>12/21/14</t>
  </si>
  <si>
    <t>Lanna Hall</t>
  </si>
  <si>
    <t>$45.21</t>
  </si>
  <si>
    <t>Cassondra Goadbie</t>
  </si>
  <si>
    <t>Daewoo</t>
  </si>
  <si>
    <t>$136.00</t>
  </si>
  <si>
    <t>12/30/14</t>
  </si>
  <si>
    <t>Dianemarie Scherer</t>
  </si>
  <si>
    <t>$23.27</t>
  </si>
  <si>
    <t>Gerianna Queen</t>
  </si>
  <si>
    <t>12/30/13</t>
  </si>
  <si>
    <t>Tildy Klimashevich</t>
  </si>
  <si>
    <t>Junia Lazell</t>
  </si>
  <si>
    <t>10/13/13</t>
  </si>
  <si>
    <t>Hewett Raysdale</t>
  </si>
  <si>
    <t>Isobel Godard</t>
  </si>
  <si>
    <t>$170.00</t>
  </si>
  <si>
    <t>Sonia Turney</t>
  </si>
  <si>
    <t>Woodman Iorizzo</t>
  </si>
  <si>
    <t>Land Rover</t>
  </si>
  <si>
    <t>Elvera Honack</t>
  </si>
  <si>
    <t>Wit Trevallion</t>
  </si>
  <si>
    <t>Erskine Shasnan</t>
  </si>
  <si>
    <t>Cinnamon Spiers</t>
  </si>
  <si>
    <t>$350.00</t>
  </si>
  <si>
    <t>2/19/13</t>
  </si>
  <si>
    <t>Livy Simmins</t>
  </si>
  <si>
    <t>$319.80</t>
  </si>
  <si>
    <t>12/13/13</t>
  </si>
  <si>
    <t>Benny Tempest</t>
  </si>
  <si>
    <t>Arlyne Peebles</t>
  </si>
  <si>
    <t>Afton Jenoure</t>
  </si>
  <si>
    <t>Stacee Bartaloni</t>
  </si>
  <si>
    <t>$321.30</t>
  </si>
  <si>
    <t>3/25/13</t>
  </si>
  <si>
    <t>Edik Le Gassick</t>
  </si>
  <si>
    <t>Leopold Mustoe</t>
  </si>
  <si>
    <t>Ford Wollacott</t>
  </si>
  <si>
    <t>$55.00</t>
  </si>
  <si>
    <t>Vickie Bour</t>
  </si>
  <si>
    <t>Hyacinthe Gigg</t>
  </si>
  <si>
    <t>Mariette Broxholme</t>
  </si>
  <si>
    <t>Susette O Mullen</t>
  </si>
  <si>
    <t>Leia Bevan</t>
  </si>
  <si>
    <t>4/17/13</t>
  </si>
  <si>
    <t>Caryl Critchlow</t>
  </si>
  <si>
    <t>Mohammed Easson</t>
  </si>
  <si>
    <t>$111.31</t>
  </si>
  <si>
    <t>Dian Fuzzens</t>
  </si>
  <si>
    <t>$570.00</t>
  </si>
  <si>
    <t>2/26/14</t>
  </si>
  <si>
    <t>Eleanora Oosthout de Vree</t>
  </si>
  <si>
    <t>Alecia Safell</t>
  </si>
  <si>
    <t>12/21/13</t>
  </si>
  <si>
    <t>Aloysia Fossitt</t>
  </si>
  <si>
    <t>Jannelle Philipson</t>
  </si>
  <si>
    <t>Dore Kenwright</t>
  </si>
  <si>
    <t>$422.97</t>
  </si>
  <si>
    <t>11/15/13</t>
  </si>
  <si>
    <t>Lishe Ville</t>
  </si>
  <si>
    <t>$41.16</t>
  </si>
  <si>
    <t>Vanya Wholesworth</t>
  </si>
  <si>
    <t>Tesla</t>
  </si>
  <si>
    <t>1/29/14</t>
  </si>
  <si>
    <t>Saundra Mellody</t>
  </si>
  <si>
    <t>Darby Diack</t>
  </si>
  <si>
    <t>$131.92</t>
  </si>
  <si>
    <t>Gray Goodwill</t>
  </si>
  <si>
    <t>Philippa Gierth</t>
  </si>
  <si>
    <t>$225.23</t>
  </si>
  <si>
    <t>Sharai Pieche</t>
  </si>
  <si>
    <t>Aldous Clint</t>
  </si>
  <si>
    <t>12/26/14</t>
  </si>
  <si>
    <t>Lacey Marjanski</t>
  </si>
  <si>
    <t>Shelbi Ninnoli</t>
  </si>
  <si>
    <t>Lamborghini</t>
  </si>
  <si>
    <t>11/17/13</t>
  </si>
  <si>
    <t>Emmalyn Merricks</t>
  </si>
  <si>
    <t>$20.58</t>
  </si>
  <si>
    <t>Marion Bodiam</t>
  </si>
  <si>
    <t>Rochella Ricard</t>
  </si>
  <si>
    <t>$97.76</t>
  </si>
  <si>
    <t>Katharine Clendinning</t>
  </si>
  <si>
    <t>Sibyl Bonwell</t>
  </si>
  <si>
    <t>Veradis Hilling</t>
  </si>
  <si>
    <t>Axe Ruddoch</t>
  </si>
  <si>
    <t>Georg Awty</t>
  </si>
  <si>
    <t>Delcina Rotchell</t>
  </si>
  <si>
    <t>$65.96</t>
  </si>
  <si>
    <t>Ericha Handmore</t>
  </si>
  <si>
    <t>Rica Wildey</t>
  </si>
  <si>
    <t>12/28/14</t>
  </si>
  <si>
    <t>Zorina Salla</t>
  </si>
  <si>
    <t>$99.45</t>
  </si>
  <si>
    <t>Brinna Speachley</t>
  </si>
  <si>
    <t>Ricky Potier</t>
  </si>
  <si>
    <t>2/17/14</t>
  </si>
  <si>
    <t>Fremont Sheeres</t>
  </si>
  <si>
    <t>$73.50</t>
  </si>
  <si>
    <t>Tremaine Scurrey</t>
  </si>
  <si>
    <t>5/13/14</t>
  </si>
  <si>
    <t>Abra D'Antuoni</t>
  </si>
  <si>
    <t>$740.52</t>
  </si>
  <si>
    <t>Jarib Chasen</t>
  </si>
  <si>
    <t>Genni Lassells</t>
  </si>
  <si>
    <t>Ashlee McMillan</t>
  </si>
  <si>
    <t>$425.15</t>
  </si>
  <si>
    <t>7/17/14</t>
  </si>
  <si>
    <t>Farris Willishire</t>
  </si>
  <si>
    <t>$59.10</t>
  </si>
  <si>
    <t>12/16/13</t>
  </si>
  <si>
    <t>Cyrus Batty</t>
  </si>
  <si>
    <t>Jed Carff</t>
  </si>
  <si>
    <t>1/28/14</t>
  </si>
  <si>
    <t>Sergent Jarlmann</t>
  </si>
  <si>
    <t>$120.00</t>
  </si>
  <si>
    <t>Alexi Ogdahl</t>
  </si>
  <si>
    <t>$33.32</t>
  </si>
  <si>
    <t>10/19/13</t>
  </si>
  <si>
    <t>Heath Lambart</t>
  </si>
  <si>
    <t>Johnnie Drieu</t>
  </si>
  <si>
    <t>Hummer</t>
  </si>
  <si>
    <t>$55.86</t>
  </si>
  <si>
    <t>Rad Veart</t>
  </si>
  <si>
    <t>$44.75</t>
  </si>
  <si>
    <t>Danny Carslake</t>
  </si>
  <si>
    <t>Kimball Poulgreen</t>
  </si>
  <si>
    <t>Kasey Tenby</t>
  </si>
  <si>
    <t>Maybach</t>
  </si>
  <si>
    <t>$234.43</t>
  </si>
  <si>
    <t>Saunderson Springer</t>
  </si>
  <si>
    <t>$22.72</t>
  </si>
  <si>
    <t>Arney Peace</t>
  </si>
  <si>
    <t>Brita Cansdell</t>
  </si>
  <si>
    <t>5/26/13</t>
  </si>
  <si>
    <t>Nefen Woloschinski</t>
  </si>
  <si>
    <t>Gayle Rakes</t>
  </si>
  <si>
    <t>Corbin</t>
  </si>
  <si>
    <t>Rochella Snookes</t>
  </si>
  <si>
    <t>Beaufort Blanning</t>
  </si>
  <si>
    <t>Glen Grabb</t>
  </si>
  <si>
    <t>Belinda Bohan</t>
  </si>
  <si>
    <t>$105.00</t>
  </si>
  <si>
    <t>Hernando Accum</t>
  </si>
  <si>
    <t>$188.00</t>
  </si>
  <si>
    <t>Miner Willcot</t>
  </si>
  <si>
    <t>Dennet Stavers</t>
  </si>
  <si>
    <t>$243.75</t>
  </si>
  <si>
    <t>Gerrie Crean</t>
  </si>
  <si>
    <t>6/26/14</t>
  </si>
  <si>
    <t>Sephira Nesby</t>
  </si>
  <si>
    <t>Kessia Sevin</t>
  </si>
  <si>
    <t>Valentine Shiliton</t>
  </si>
  <si>
    <t>$98.50</t>
  </si>
  <si>
    <t>Sarena Fullager</t>
  </si>
  <si>
    <t>11/24/13</t>
  </si>
  <si>
    <t>Hadleigh Nevinson</t>
  </si>
  <si>
    <t>Jarred Wards</t>
  </si>
  <si>
    <t>Orbadiah Ivanchov</t>
  </si>
  <si>
    <t>Florian Klossek</t>
  </si>
  <si>
    <t>Kermit Buttel</t>
  </si>
  <si>
    <t>Ram</t>
  </si>
  <si>
    <t>Andris Terbeek</t>
  </si>
  <si>
    <t>Luca Rich</t>
  </si>
  <si>
    <t>$404.84</t>
  </si>
  <si>
    <t>Olenolin Silburn</t>
  </si>
  <si>
    <t>Konstanze Andrus</t>
  </si>
  <si>
    <t>$61.74</t>
  </si>
  <si>
    <t>Jayne Noel</t>
  </si>
  <si>
    <t>3/14/13</t>
  </si>
  <si>
    <t>Clarisse Babcock</t>
  </si>
  <si>
    <t>Jerrilee Caltera</t>
  </si>
  <si>
    <t>$239.85</t>
  </si>
  <si>
    <t>Roobbie Casperri</t>
  </si>
  <si>
    <t>Colly Hamner</t>
  </si>
  <si>
    <t>Clo Lamey</t>
  </si>
  <si>
    <t>12/24/13</t>
  </si>
  <si>
    <t>Carmen Rowles</t>
  </si>
  <si>
    <t>$560.66</t>
  </si>
  <si>
    <t>Gabby Shorthill</t>
  </si>
  <si>
    <t>$79.80</t>
  </si>
  <si>
    <t>Leeland Pleasance</t>
  </si>
  <si>
    <t>Nathanial Shearwood</t>
  </si>
  <si>
    <t>Berty Lehrian</t>
  </si>
  <si>
    <t>Raffarty Dacre</t>
  </si>
  <si>
    <t>$37.43</t>
  </si>
  <si>
    <t>Waylon Bilam</t>
  </si>
  <si>
    <t>Carolan Soden</t>
  </si>
  <si>
    <t>7/19/13</t>
  </si>
  <si>
    <t>Cass Bonsul</t>
  </si>
  <si>
    <t>Christina Uphill</t>
  </si>
  <si>
    <t>Kinna Bole</t>
  </si>
  <si>
    <t>$39.10</t>
  </si>
  <si>
    <t>Dur Stockwell</t>
  </si>
  <si>
    <t>Sherri Tidmas</t>
  </si>
  <si>
    <t>Hillie Sheerin</t>
  </si>
  <si>
    <t>12/29/14</t>
  </si>
  <si>
    <t>Royall Dossantos</t>
  </si>
  <si>
    <t>Alyda Cuppitt</t>
  </si>
  <si>
    <t>Jacquenette Yellop</t>
  </si>
  <si>
    <t>$88.65</t>
  </si>
  <si>
    <t>Ermanno Fullstone</t>
  </si>
  <si>
    <t>$33.15</t>
  </si>
  <si>
    <t>Joelle Keeney</t>
  </si>
  <si>
    <t>$408.00</t>
  </si>
  <si>
    <t>Rudiger Tremayne</t>
  </si>
  <si>
    <t>Andre Eldred</t>
  </si>
  <si>
    <t>Jorey Mendenhall</t>
  </si>
  <si>
    <t>Cathy Galsworthy</t>
  </si>
  <si>
    <t>$816.00</t>
  </si>
  <si>
    <t>Guthrey Werlock</t>
  </si>
  <si>
    <t>Corine Lettson</t>
  </si>
  <si>
    <t>Shadow Colebourne</t>
  </si>
  <si>
    <t>10/22/13</t>
  </si>
  <si>
    <t>Baillie Volleth</t>
  </si>
  <si>
    <t>$41.37</t>
  </si>
  <si>
    <t>Susette Danser</t>
  </si>
  <si>
    <t>Bradford Sheehy</t>
  </si>
  <si>
    <t>Farris Frankham</t>
  </si>
  <si>
    <t>Virgilio Apthorpe</t>
  </si>
  <si>
    <t>Janka Spowage</t>
  </si>
  <si>
    <t>Kary Lovelock</t>
  </si>
  <si>
    <t>Milly Enevoldsen</t>
  </si>
  <si>
    <t>12/26/13</t>
  </si>
  <si>
    <t>Phoebe Woolerton</t>
  </si>
  <si>
    <t>Kym Wheelwright</t>
  </si>
  <si>
    <t>12/18/13</t>
  </si>
  <si>
    <t>Brew Manion</t>
  </si>
  <si>
    <t>Pinchas Sconce</t>
  </si>
  <si>
    <t>$32.98</t>
  </si>
  <si>
    <t>Shandra Harvard</t>
  </si>
  <si>
    <t>Demetrius Burgwyn</t>
  </si>
  <si>
    <t>$49.00</t>
  </si>
  <si>
    <t>2/28/13</t>
  </si>
  <si>
    <t>Theodosia McDougle</t>
  </si>
  <si>
    <t>Studebaker</t>
  </si>
  <si>
    <t>Tobie Crewther</t>
  </si>
  <si>
    <t>$90.00</t>
  </si>
  <si>
    <t>10/24/14</t>
  </si>
  <si>
    <t>Karry Leehane</t>
  </si>
  <si>
    <t>Agnola Hiley</t>
  </si>
  <si>
    <t>$29.55</t>
  </si>
  <si>
    <t>Amandie Onn</t>
  </si>
  <si>
    <t>8/20/14</t>
  </si>
  <si>
    <t>Gallagher Palister</t>
  </si>
  <si>
    <t>Fayette Twine</t>
  </si>
  <si>
    <t>Alic Whithorn</t>
  </si>
  <si>
    <t>Moss Jollands</t>
  </si>
  <si>
    <t>Edgar Payfoot</t>
  </si>
  <si>
    <t>$22.26</t>
  </si>
  <si>
    <t>12/23/14</t>
  </si>
  <si>
    <t>Abigale Paffot</t>
  </si>
  <si>
    <t>Everard Shoebrook</t>
  </si>
  <si>
    <t>Almeda Bywater</t>
  </si>
  <si>
    <t>Ranee Arro</t>
  </si>
  <si>
    <t>Saturn</t>
  </si>
  <si>
    <t>Giff Primarolo</t>
  </si>
  <si>
    <t>Veradis Broadberry</t>
  </si>
  <si>
    <t>Courtnay Baudic</t>
  </si>
  <si>
    <t>Koral Neely</t>
  </si>
  <si>
    <t>Fredrick Simonazzi</t>
  </si>
  <si>
    <t>Panoz</t>
  </si>
  <si>
    <t>Sharleen McIlvaney</t>
  </si>
  <si>
    <t>$483.63</t>
  </si>
  <si>
    <t>Maddy Zannini</t>
  </si>
  <si>
    <t>Yvon Cavnor</t>
  </si>
  <si>
    <t>$94.00</t>
  </si>
  <si>
    <t>Dacie De Clairmont</t>
  </si>
  <si>
    <t>Gottfried Halston</t>
  </si>
  <si>
    <t>Suzuki</t>
  </si>
  <si>
    <t>Cleve Allworthy</t>
  </si>
  <si>
    <t>Bridgette Huscroft</t>
  </si>
  <si>
    <t>Peyton Ferrucci</t>
  </si>
  <si>
    <t>Killy Burndred</t>
  </si>
  <si>
    <t>Derward Edelheit</t>
  </si>
  <si>
    <t>$98.00</t>
  </si>
  <si>
    <t>Jeremy Thowless</t>
  </si>
  <si>
    <t>Onfroi Melmeth</t>
  </si>
  <si>
    <t>Tracy Capp</t>
  </si>
  <si>
    <t>$77.41</t>
  </si>
  <si>
    <t>Vonni Barringer</t>
  </si>
  <si>
    <t>$38.00</t>
  </si>
  <si>
    <t>Nolie Small</t>
  </si>
  <si>
    <t>4/16/13</t>
  </si>
  <si>
    <t>Betsy Haly</t>
  </si>
  <si>
    <t>Bealle Riddiford</t>
  </si>
  <si>
    <t>Rolfe Scobbie</t>
  </si>
  <si>
    <t>Filide Dusting</t>
  </si>
  <si>
    <t>$268.91</t>
  </si>
  <si>
    <t>Irving Meijer</t>
  </si>
  <si>
    <t>$750.00</t>
  </si>
  <si>
    <t>Giusto Oen</t>
  </si>
  <si>
    <t>Alexine Holdren</t>
  </si>
  <si>
    <t>$58.80</t>
  </si>
  <si>
    <t>Lela Conley</t>
  </si>
  <si>
    <t>Tiphany Cottem</t>
  </si>
  <si>
    <t>Alvira Andersson</t>
  </si>
  <si>
    <t>Frederic Helstrom</t>
  </si>
  <si>
    <t>$20.69</t>
  </si>
  <si>
    <t>Hadley Laville</t>
  </si>
  <si>
    <t>5/18/13</t>
  </si>
  <si>
    <t>Codie Tolson</t>
  </si>
  <si>
    <t>Woodrow Moores</t>
  </si>
  <si>
    <t>$37.05</t>
  </si>
  <si>
    <t>Frasquito Hourican</t>
  </si>
  <si>
    <t>Issie Eastam</t>
  </si>
  <si>
    <t>Haroun Cassius</t>
  </si>
  <si>
    <t>Catherina Rookeby</t>
  </si>
  <si>
    <t>$53.63</t>
  </si>
  <si>
    <t>Danette Harower</t>
  </si>
  <si>
    <t>7/26/13</t>
  </si>
  <si>
    <t>Debor Mongan</t>
  </si>
  <si>
    <t>Guntar Pyer</t>
  </si>
  <si>
    <t>Ekaterina Granville</t>
  </si>
  <si>
    <t>Benoite Grady</t>
  </si>
  <si>
    <t>Marven McInteer</t>
  </si>
  <si>
    <t>Adrian Hamblett</t>
  </si>
  <si>
    <t>Gabi Lurner</t>
  </si>
  <si>
    <t>Gisella Bonanno</t>
  </si>
  <si>
    <t>$100.00</t>
  </si>
  <si>
    <t>12/25/14</t>
  </si>
  <si>
    <t>Gloria Kristof</t>
  </si>
  <si>
    <t>Dar Arons</t>
  </si>
  <si>
    <t>Aubrey Delea</t>
  </si>
  <si>
    <t>$468.86</t>
  </si>
  <si>
    <t>Andree O'Cullen</t>
  </si>
  <si>
    <t>Astrix Burness</t>
  </si>
  <si>
    <t>Willetta Hargitt</t>
  </si>
  <si>
    <t>Lotta Rue</t>
  </si>
  <si>
    <t>Gwenette Wigmore</t>
  </si>
  <si>
    <t>Serena Gaines</t>
  </si>
  <si>
    <t>Phoebe Zywicki</t>
  </si>
  <si>
    <t>Katya Bernhart</t>
  </si>
  <si>
    <t>Suzette Darrach</t>
  </si>
  <si>
    <t>CitroÃ«n</t>
  </si>
  <si>
    <t>Judas Bidewell</t>
  </si>
  <si>
    <t>Caterina Oldcroft</t>
  </si>
  <si>
    <t>Dieter Swanwick</t>
  </si>
  <si>
    <t>5/29/13</t>
  </si>
  <si>
    <t>Kienan Wilber</t>
  </si>
  <si>
    <t>Alberto Loder</t>
  </si>
  <si>
    <t>2/27/13</t>
  </si>
  <si>
    <t>Sonja Sevior</t>
  </si>
  <si>
    <t>Ora Byrnes</t>
  </si>
  <si>
    <t>Garfield MacCallum</t>
  </si>
  <si>
    <t>Virgie Schirach</t>
  </si>
  <si>
    <t>Chucho Iglesias</t>
  </si>
  <si>
    <t>6/13/13</t>
  </si>
  <si>
    <t>Corbin Perrelli</t>
  </si>
  <si>
    <t>Sherilyn Ayscough</t>
  </si>
  <si>
    <t>Waring Rizzone</t>
  </si>
  <si>
    <t>$33.49</t>
  </si>
  <si>
    <t>Roy Slewcock</t>
  </si>
  <si>
    <t>Benedicto Banasik</t>
  </si>
  <si>
    <t>Vince Geere</t>
  </si>
  <si>
    <t>$328.98</t>
  </si>
  <si>
    <t>Rooney Ondrich</t>
  </si>
  <si>
    <t>Perla Kaemena</t>
  </si>
  <si>
    <t>Slade Worsfield</t>
  </si>
  <si>
    <t>Rochette Barneveld</t>
  </si>
  <si>
    <t>Joela Winters</t>
  </si>
  <si>
    <t>9/20/13</t>
  </si>
  <si>
    <t>Janene Scaysbrook</t>
  </si>
  <si>
    <t>Gaylene Kybert</t>
  </si>
  <si>
    <t>$78.75</t>
  </si>
  <si>
    <t>Dorrie Danick</t>
  </si>
  <si>
    <t>$299.25</t>
  </si>
  <si>
    <t>Alister Powney</t>
  </si>
  <si>
    <t>Stephie Douglas</t>
  </si>
  <si>
    <t>$232.65</t>
  </si>
  <si>
    <t>Langsdon Cornelleau</t>
  </si>
  <si>
    <t>Onfroi Laye</t>
  </si>
  <si>
    <t>$19.35</t>
  </si>
  <si>
    <t>Jeffie Diggar</t>
  </si>
  <si>
    <t>Patrice Gownge</t>
  </si>
  <si>
    <t>Austin</t>
  </si>
  <si>
    <t>Axe Bendtsen</t>
  </si>
  <si>
    <t>8/25/14</t>
  </si>
  <si>
    <t>Sanderson Sheryn</t>
  </si>
  <si>
    <t>Maxim Uren</t>
  </si>
  <si>
    <t>$233.85</t>
  </si>
  <si>
    <t>4/30/14</t>
  </si>
  <si>
    <t>Lauree Isacsson</t>
  </si>
  <si>
    <t>Eada Caccavella</t>
  </si>
  <si>
    <t>Vincents Antyukhin</t>
  </si>
  <si>
    <t>$540.50</t>
  </si>
  <si>
    <t>Mortie Darth</t>
  </si>
  <si>
    <t>12/15/13</t>
  </si>
  <si>
    <t>Vicky Haysey</t>
  </si>
  <si>
    <t>$30.00</t>
  </si>
  <si>
    <t>11/26/13</t>
  </si>
  <si>
    <t>Tobi Wiskar</t>
  </si>
  <si>
    <t>5/30/13</t>
  </si>
  <si>
    <t>Hazel Fincken</t>
  </si>
  <si>
    <t>Mala Kenwin</t>
  </si>
  <si>
    <t>$19.65</t>
  </si>
  <si>
    <t>Virgil Royle</t>
  </si>
  <si>
    <t>Hartwell Lerego</t>
  </si>
  <si>
    <t>$159.60</t>
  </si>
  <si>
    <t>Herculie Capaldo</t>
  </si>
  <si>
    <t>Catlee O'Geaney</t>
  </si>
  <si>
    <t>Daffi Corp</t>
  </si>
  <si>
    <t>Gerta Sneezum</t>
  </si>
  <si>
    <t>Carissa Riggeard</t>
  </si>
  <si>
    <t>$114.75</t>
  </si>
  <si>
    <t>Candra Stowe</t>
  </si>
  <si>
    <t>$536.25</t>
  </si>
  <si>
    <t>Naomi Nibloe</t>
  </si>
  <si>
    <t>4/21/14</t>
  </si>
  <si>
    <t>Consalve Davidof</t>
  </si>
  <si>
    <t>$226.06</t>
  </si>
  <si>
    <t>Sascha Durling</t>
  </si>
  <si>
    <t>1/26/13</t>
  </si>
  <si>
    <t>Norri Costard</t>
  </si>
  <si>
    <t>George Carwardine</t>
  </si>
  <si>
    <t>Marlon Reuben</t>
  </si>
  <si>
    <t>4/22/13</t>
  </si>
  <si>
    <t>Paquito Chapple</t>
  </si>
  <si>
    <t>$36.86</t>
  </si>
  <si>
    <t>Jan Cowndley</t>
  </si>
  <si>
    <t>$879.45</t>
  </si>
  <si>
    <t>11/24/14</t>
  </si>
  <si>
    <t>Annadiana Calan</t>
  </si>
  <si>
    <t>Nikolai Drewry</t>
  </si>
  <si>
    <t>Tristan Leeson</t>
  </si>
  <si>
    <t>$58.65</t>
  </si>
  <si>
    <t>Orion Cotelard</t>
  </si>
  <si>
    <t>Tarah Sollis</t>
  </si>
  <si>
    <t>$313.27</t>
  </si>
  <si>
    <t>Norbert Varne</t>
  </si>
  <si>
    <t>Booth Ceccoli</t>
  </si>
  <si>
    <t>Nicolis Stollman</t>
  </si>
  <si>
    <t>Sullivan Peers</t>
  </si>
  <si>
    <t>Ariella Soffe</t>
  </si>
  <si>
    <t>Livvie Petett</t>
  </si>
  <si>
    <t>Myranda Penddreth</t>
  </si>
  <si>
    <t>Fran Blackah</t>
  </si>
  <si>
    <t>8/16/14</t>
  </si>
  <si>
    <t>Lira Hyett</t>
  </si>
  <si>
    <t>Selestina Roycroft</t>
  </si>
  <si>
    <t>3/20/13</t>
  </si>
  <si>
    <t>Gino Stickney</t>
  </si>
  <si>
    <t>2/26/13</t>
  </si>
  <si>
    <t>Kristen Feakins</t>
  </si>
  <si>
    <t>$500.00</t>
  </si>
  <si>
    <t>Alicia Franchioni</t>
  </si>
  <si>
    <t>4/27/14</t>
  </si>
  <si>
    <t>Eddy Walas</t>
  </si>
  <si>
    <t>Kenyon Glazzard</t>
  </si>
  <si>
    <t>$82.74</t>
  </si>
  <si>
    <t>9/15/14</t>
  </si>
  <si>
    <t>Maisey McCrystal</t>
  </si>
  <si>
    <t>Loren Peak</t>
  </si>
  <si>
    <t>Yorker Ubee</t>
  </si>
  <si>
    <t>12/20/13</t>
  </si>
  <si>
    <t>Sharron Brozsset</t>
  </si>
  <si>
    <t>$69.80</t>
  </si>
  <si>
    <t>Meagan Maddison</t>
  </si>
  <si>
    <t>Ryley Starton</t>
  </si>
  <si>
    <t>Skell Yatman</t>
  </si>
  <si>
    <t>$134.64</t>
  </si>
  <si>
    <t>Karney Fawley</t>
  </si>
  <si>
    <t>Celisse Skill</t>
  </si>
  <si>
    <t>$235.20</t>
  </si>
  <si>
    <t>Nicoli Ashard</t>
  </si>
  <si>
    <t>7/24/14</t>
  </si>
  <si>
    <t>Wynnie Sprouls</t>
  </si>
  <si>
    <t>Hersch Goodanew</t>
  </si>
  <si>
    <t>5/27/13</t>
  </si>
  <si>
    <t>Kristine Huddy</t>
  </si>
  <si>
    <t>Alphonso Layton</t>
  </si>
  <si>
    <t>Ferguson Eaglestone</t>
  </si>
  <si>
    <t>Bonni Kristufek</t>
  </si>
  <si>
    <t>$511.83</t>
  </si>
  <si>
    <t>Gunner Dechelette</t>
  </si>
  <si>
    <t>Erica Leyden</t>
  </si>
  <si>
    <t>Leticia Orr</t>
  </si>
  <si>
    <t>Smith Moneti</t>
  </si>
  <si>
    <t>Batsheva Bear</t>
  </si>
  <si>
    <t>$46.06</t>
  </si>
  <si>
    <t>Aili Berthot</t>
  </si>
  <si>
    <t>Donni Bollam</t>
  </si>
  <si>
    <t>2/28/14</t>
  </si>
  <si>
    <t>Bonny Denslow</t>
  </si>
  <si>
    <t>10/22/14</t>
  </si>
  <si>
    <t>Marie Samwaye</t>
  </si>
  <si>
    <t>Flin Skurm</t>
  </si>
  <si>
    <t>Cad Amdohr</t>
  </si>
  <si>
    <t>9/30/13</t>
  </si>
  <si>
    <t>Johnath Palfree</t>
  </si>
  <si>
    <t>Glori Greggs</t>
  </si>
  <si>
    <t>Anna-diane Bardnam</t>
  </si>
  <si>
    <t>$66.98</t>
  </si>
  <si>
    <t>Rosamund Benedicte</t>
  </si>
  <si>
    <t>Munroe Rochelle</t>
  </si>
  <si>
    <t>$89.10</t>
  </si>
  <si>
    <t>5/21/13</t>
  </si>
  <si>
    <t>Priscella Westcot</t>
  </si>
  <si>
    <t>Sophronia Kirkbright</t>
  </si>
  <si>
    <t>Megan Biasio</t>
  </si>
  <si>
    <t>1/21/14</t>
  </si>
  <si>
    <t>Osbert Stouther</t>
  </si>
  <si>
    <t>$566.38</t>
  </si>
  <si>
    <t>7/16/13</t>
  </si>
  <si>
    <t>Jake Knolles-Green</t>
  </si>
  <si>
    <t>6/25/13</t>
  </si>
  <si>
    <t>Wandie Jagg</t>
  </si>
  <si>
    <t>$110.00</t>
  </si>
  <si>
    <t>Jarred Klampk</t>
  </si>
  <si>
    <t>Hilton Brierton</t>
  </si>
  <si>
    <t>Ofilia Samett</t>
  </si>
  <si>
    <t>2/22/14</t>
  </si>
  <si>
    <t>Carola Karlsen</t>
  </si>
  <si>
    <t>$27.23</t>
  </si>
  <si>
    <t>Myrta Adshad</t>
  </si>
  <si>
    <t>$438.90</t>
  </si>
  <si>
    <t>Jeremie Collingwood</t>
  </si>
  <si>
    <t xml:space="preserve">Dimension Table - Lookup Table </t>
  </si>
  <si>
    <t xml:space="preserve">Product Table </t>
  </si>
  <si>
    <t xml:space="preserve">Sales  Table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</si>
</sst>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9" formatCode="[$-14009]dd/mm/yyyy;@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  <family val="2"/>
    </font>
    <font>
      <i/>
      <sz val="11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sz val="13.5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8"/>
      <color rgb="FFFFFFFF"/>
      <name val="Quattrocento Sans"/>
    </font>
    <font>
      <b/>
      <sz val="11"/>
      <color rgb="FFFFFFFF"/>
      <name val="Quattrocento Sans"/>
    </font>
    <font>
      <sz val="11"/>
      <color theme="1"/>
      <name val="Quattrocento Sans"/>
    </font>
    <font>
      <sz val="11"/>
      <color rgb="FFFFFFFF"/>
      <name val="Quattrocento Sans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 style="medium">
        <color rgb="FF8EAADB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8EAADB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 applyAlignment="1">
      <alignment horizontal="left" vertical="top"/>
    </xf>
    <xf numFmtId="22" fontId="3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10" fillId="0" borderId="0" xfId="0" applyFont="1"/>
    <xf numFmtId="0" fontId="10" fillId="0" borderId="0" xfId="0" applyFont="1" applyAlignment="1">
      <alignment horizontal="left" vertical="center" indent="1"/>
    </xf>
    <xf numFmtId="0" fontId="0" fillId="0" borderId="0" xfId="0" applyAlignment="1">
      <alignment horizontal="left" vertical="top"/>
    </xf>
    <xf numFmtId="169" fontId="0" fillId="0" borderId="0" xfId="0" applyNumberFormat="1" applyAlignment="1">
      <alignment horizontal="center" vertical="top"/>
    </xf>
    <xf numFmtId="169" fontId="0" fillId="0" borderId="0" xfId="0" applyNumberForma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3" fillId="5" borderId="2" xfId="0" applyFont="1" applyFill="1" applyBorder="1" applyAlignment="1">
      <alignment wrapText="1"/>
    </xf>
    <xf numFmtId="0" fontId="13" fillId="5" borderId="3" xfId="0" applyFont="1" applyFill="1" applyBorder="1" applyAlignment="1">
      <alignment wrapText="1"/>
    </xf>
    <xf numFmtId="0" fontId="0" fillId="0" borderId="4" xfId="0" applyBorder="1" applyAlignment="1">
      <alignment wrapText="1"/>
    </xf>
    <xf numFmtId="0" fontId="14" fillId="6" borderId="5" xfId="0" applyFont="1" applyFill="1" applyBorder="1" applyAlignment="1">
      <alignment wrapText="1"/>
    </xf>
    <xf numFmtId="0" fontId="14" fillId="6" borderId="5" xfId="0" applyFont="1" applyFill="1" applyBorder="1" applyAlignment="1">
      <alignment horizontal="right" wrapText="1"/>
    </xf>
    <xf numFmtId="0" fontId="14" fillId="6" borderId="2" xfId="0" applyFont="1" applyFill="1" applyBorder="1" applyAlignment="1">
      <alignment horizontal="right" wrapText="1"/>
    </xf>
    <xf numFmtId="0" fontId="14" fillId="7" borderId="5" xfId="0" applyFont="1" applyFill="1" applyBorder="1" applyAlignment="1">
      <alignment wrapText="1"/>
    </xf>
    <xf numFmtId="0" fontId="14" fillId="7" borderId="5" xfId="0" applyFont="1" applyFill="1" applyBorder="1" applyAlignment="1">
      <alignment horizontal="right" wrapText="1"/>
    </xf>
    <xf numFmtId="0" fontId="14" fillId="7" borderId="2" xfId="0" applyFont="1" applyFill="1" applyBorder="1" applyAlignment="1">
      <alignment horizontal="right" wrapText="1"/>
    </xf>
    <xf numFmtId="14" fontId="14" fillId="6" borderId="5" xfId="0" applyNumberFormat="1" applyFont="1" applyFill="1" applyBorder="1" applyAlignment="1">
      <alignment horizontal="right" wrapText="1"/>
    </xf>
    <xf numFmtId="14" fontId="14" fillId="7" borderId="5" xfId="0" applyNumberFormat="1" applyFont="1" applyFill="1" applyBorder="1" applyAlignment="1">
      <alignment horizontal="right" wrapText="1"/>
    </xf>
    <xf numFmtId="0" fontId="14" fillId="7" borderId="4" xfId="0" applyFont="1" applyFill="1" applyBorder="1" applyAlignment="1">
      <alignment wrapText="1"/>
    </xf>
    <xf numFmtId="0" fontId="14" fillId="6" borderId="4" xfId="0" applyFont="1" applyFill="1" applyBorder="1" applyAlignment="1">
      <alignment horizontal="right" wrapText="1"/>
    </xf>
    <xf numFmtId="0" fontId="14" fillId="6" borderId="4" xfId="0" applyFont="1" applyFill="1" applyBorder="1" applyAlignment="1">
      <alignment wrapText="1"/>
    </xf>
    <xf numFmtId="0" fontId="14" fillId="6" borderId="0" xfId="0" applyFont="1" applyFill="1" applyAlignment="1">
      <alignment horizontal="right" wrapText="1"/>
    </xf>
    <xf numFmtId="0" fontId="12" fillId="4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top"/>
    </xf>
    <xf numFmtId="0" fontId="0" fillId="3" borderId="0" xfId="0" applyFill="1" applyAlignment="1">
      <alignment horizontal="left" vertical="top"/>
    </xf>
    <xf numFmtId="0" fontId="15" fillId="4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top"/>
    </xf>
    <xf numFmtId="0" fontId="16" fillId="0" borderId="0" xfId="0" applyFont="1"/>
  </cellXfs>
  <cellStyles count="1">
    <cellStyle name="Normal" xfId="0" builtinId="0"/>
  </cellStyles>
  <dxfs count="4">
    <dxf>
      <alignment horizontal="left" vertical="top" textRotation="0" wrapText="0" indent="0" justifyLastLine="0" shrinkToFit="0" readingOrder="0"/>
    </dxf>
    <dxf>
      <numFmt numFmtId="169" formatCode="[$-14009]dd/mm/yyyy;@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E8D430-AE34-4444-BC68-A23864CD804F}" name="Table16" displayName="Table16" ref="A3:H25" totalsRowShown="0">
  <autoFilter ref="A3:H25" xr:uid="{51E8D430-AE34-4444-BC68-A23864CD804F}"/>
  <tableColumns count="8">
    <tableColumn id="1" xr3:uid="{144CAD7D-C945-4525-97F8-7E62C00F0773}" name="Name"/>
    <tableColumn id="2" xr3:uid="{6D7F1B05-C72B-4708-98CF-B5A0D5FD7C01}" name="Gender"/>
    <tableColumn id="3" xr3:uid="{3B3425AA-DC18-4A5E-B7A8-687D5875D66A}" name="Age"/>
    <tableColumn id="4" xr3:uid="{89EE7B73-E7D9-4390-A15C-EF00780064F4}" name="Class"/>
    <tableColumn id="5" xr3:uid="{CF9E08F6-8827-4719-8814-184263291418}" name="House"/>
    <tableColumn id="6" xr3:uid="{269E3992-E6CE-400C-A431-8597B0740063}" name="Unit Test 1"/>
    <tableColumn id="7" xr3:uid="{A2F3F4F2-A257-456A-934F-BE478241D385}" name="Unit Test 2"/>
    <tableColumn id="8" xr3:uid="{4968E7DC-BA1F-4662-A6E5-3E45773DDC39}" name="Final Tes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8ED290-C63F-4AB8-8032-B8E9CF52ED94}" name="Product" displayName="Product" ref="A6:C25" totalsRowShown="0">
  <autoFilter ref="A6:C25" xr:uid="{278ED290-C63F-4AB8-8032-B8E9CF52ED94}"/>
  <tableColumns count="3">
    <tableColumn id="1" xr3:uid="{8A7EA161-462B-4850-908D-4EC0BE4A765B}" name="Product ID" dataDxfId="3"/>
    <tableColumn id="2" xr3:uid="{B6169B3B-C730-4F84-9C3B-34A96CE9CC4C}" name="Product Name"/>
    <tableColumn id="3" xr3:uid="{06989415-712B-4EDB-A7EA-EE385138A87E}" name="Category" dataDxfId="2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F85996-7B23-4F91-9097-C78C2DD1D744}" name="Sales" displayName="Sales" ref="A1:I101" totalsRowShown="0" headerRowDxfId="0">
  <tableColumns count="9">
    <tableColumn id="1" xr3:uid="{17888166-6D27-46DC-A9C2-6C18FBD224BC}" name="Order ID"/>
    <tableColumn id="2" xr3:uid="{6C2D5022-5A59-4508-AC54-9045C0C3A9D3}" name="Product ID"/>
    <tableColumn id="3" xr3:uid="{72964FC7-C946-4B3A-8BC2-4E3F738B93EF}" name="Quantity Sold"/>
    <tableColumn id="4" xr3:uid="{C350889B-A1EA-4122-B6D2-8D131655FA67}" name="Rate"/>
    <tableColumn id="5" xr3:uid="{47D6700C-0B5E-4C86-9BCD-7753A38EFDC4}" name="Sales"/>
    <tableColumn id="6" xr3:uid="{C6A7339E-C5EF-438F-B6B2-11B682DE8D44}" name="Date" dataDxfId="1"/>
    <tableColumn id="7" xr3:uid="{EC56D2B0-6DD2-48BE-8BA7-A642CB369E8E}" name="State"/>
    <tableColumn id="8" xr3:uid="{CE8BD369-B258-4CEC-A0F3-F59595C7EA64}" name="Ship Mode"/>
    <tableColumn id="9" xr3:uid="{7136EDC6-EB7D-461E-843B-F5E18E5EB2C6}" name="Seg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58C80-907C-453A-BAD8-EB3D16EE6245}">
  <dimension ref="A1:M82"/>
  <sheetViews>
    <sheetView topLeftCell="A10" workbookViewId="0">
      <selection activeCell="G25" sqref="G25"/>
    </sheetView>
  </sheetViews>
  <sheetFormatPr defaultRowHeight="14.4" x14ac:dyDescent="0.3"/>
  <cols>
    <col min="11" max="11" width="27.6640625" customWidth="1"/>
    <col min="12" max="12" width="33" customWidth="1"/>
    <col min="13" max="13" width="53.77734375" customWidth="1"/>
  </cols>
  <sheetData>
    <row r="1" spans="1:11" ht="23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K1" s="10" t="s">
        <v>77</v>
      </c>
    </row>
    <row r="2" spans="1:11" x14ac:dyDescent="0.3">
      <c r="A2" s="2">
        <v>44227</v>
      </c>
      <c r="B2" s="3">
        <v>1</v>
      </c>
      <c r="C2" s="3" t="s">
        <v>8</v>
      </c>
      <c r="D2" s="3" t="s">
        <v>9</v>
      </c>
      <c r="E2" s="3" t="s">
        <v>10</v>
      </c>
      <c r="F2" s="3" t="s">
        <v>11</v>
      </c>
      <c r="G2" s="3">
        <v>10</v>
      </c>
      <c r="H2" s="4">
        <v>20</v>
      </c>
    </row>
    <row r="3" spans="1:11" x14ac:dyDescent="0.3">
      <c r="A3" s="2">
        <v>44255</v>
      </c>
      <c r="B3" s="3">
        <v>2</v>
      </c>
      <c r="C3" s="3" t="s">
        <v>12</v>
      </c>
      <c r="D3" s="3" t="s">
        <v>13</v>
      </c>
      <c r="E3" s="3" t="s">
        <v>14</v>
      </c>
      <c r="F3" s="3" t="s">
        <v>15</v>
      </c>
      <c r="G3" s="3">
        <v>15</v>
      </c>
      <c r="H3" s="4">
        <v>10</v>
      </c>
      <c r="K3" s="9" t="s">
        <v>78</v>
      </c>
    </row>
    <row r="4" spans="1:11" x14ac:dyDescent="0.3">
      <c r="A4" s="2">
        <v>44286</v>
      </c>
      <c r="B4" s="3">
        <v>3</v>
      </c>
      <c r="C4" s="3" t="s">
        <v>16</v>
      </c>
      <c r="D4" s="3" t="s">
        <v>17</v>
      </c>
      <c r="E4" s="3" t="s">
        <v>18</v>
      </c>
      <c r="F4" s="3" t="s">
        <v>19</v>
      </c>
      <c r="G4" s="3">
        <v>0</v>
      </c>
      <c r="H4" s="3" t="s">
        <v>20</v>
      </c>
      <c r="K4" t="s">
        <v>79</v>
      </c>
    </row>
    <row r="5" spans="1:11" x14ac:dyDescent="0.3">
      <c r="A5" s="2">
        <v>44316</v>
      </c>
      <c r="B5" s="3">
        <v>4</v>
      </c>
      <c r="C5" s="3" t="s">
        <v>21</v>
      </c>
      <c r="D5" s="3" t="s">
        <v>22</v>
      </c>
      <c r="E5" s="3" t="s">
        <v>23</v>
      </c>
      <c r="F5" s="3" t="s">
        <v>24</v>
      </c>
      <c r="G5" s="3">
        <v>25</v>
      </c>
      <c r="H5" s="4">
        <v>10</v>
      </c>
      <c r="K5" s="8"/>
    </row>
    <row r="6" spans="1:11" x14ac:dyDescent="0.3">
      <c r="A6" s="2">
        <v>44347</v>
      </c>
      <c r="B6" s="3">
        <v>5</v>
      </c>
      <c r="C6" s="3" t="s">
        <v>25</v>
      </c>
      <c r="D6" s="3" t="s">
        <v>13</v>
      </c>
      <c r="E6" s="3" t="s">
        <v>10</v>
      </c>
      <c r="F6" s="3" t="s">
        <v>26</v>
      </c>
      <c r="G6" s="3">
        <v>30</v>
      </c>
      <c r="H6" s="4">
        <v>16.670000000000002</v>
      </c>
      <c r="K6" s="8" t="s">
        <v>80</v>
      </c>
    </row>
    <row r="7" spans="1:11" x14ac:dyDescent="0.3">
      <c r="A7" s="2">
        <v>44377</v>
      </c>
      <c r="B7" s="3">
        <v>6</v>
      </c>
      <c r="C7" s="3" t="s">
        <v>27</v>
      </c>
      <c r="D7" s="3"/>
      <c r="E7" s="3" t="s">
        <v>14</v>
      </c>
      <c r="F7" s="3" t="s">
        <v>28</v>
      </c>
      <c r="G7" s="3">
        <v>0</v>
      </c>
      <c r="H7" s="3" t="s">
        <v>20</v>
      </c>
      <c r="K7" s="8"/>
    </row>
    <row r="8" spans="1:11" x14ac:dyDescent="0.3">
      <c r="A8" s="2">
        <v>44408</v>
      </c>
      <c r="B8" s="3">
        <v>7</v>
      </c>
      <c r="C8" s="3" t="s">
        <v>29</v>
      </c>
      <c r="D8" s="3" t="s">
        <v>17</v>
      </c>
      <c r="E8" s="3" t="s">
        <v>18</v>
      </c>
      <c r="F8" s="3" t="s">
        <v>30</v>
      </c>
      <c r="G8" s="3">
        <v>35</v>
      </c>
      <c r="H8" s="4">
        <v>10</v>
      </c>
      <c r="K8" s="8" t="s">
        <v>81</v>
      </c>
    </row>
    <row r="9" spans="1:11" x14ac:dyDescent="0.3">
      <c r="A9" s="2">
        <v>44439</v>
      </c>
      <c r="B9" s="3">
        <v>8</v>
      </c>
      <c r="C9" s="3" t="s">
        <v>31</v>
      </c>
      <c r="D9" s="3" t="s">
        <v>22</v>
      </c>
      <c r="E9" s="3" t="s">
        <v>23</v>
      </c>
      <c r="F9" s="3" t="s">
        <v>32</v>
      </c>
      <c r="G9" s="3">
        <v>40</v>
      </c>
      <c r="H9" s="4">
        <v>15</v>
      </c>
      <c r="K9" s="8"/>
    </row>
    <row r="10" spans="1:11" x14ac:dyDescent="0.3">
      <c r="A10" s="2">
        <v>44469</v>
      </c>
      <c r="B10" s="3">
        <v>9</v>
      </c>
      <c r="C10" s="3" t="s">
        <v>33</v>
      </c>
      <c r="D10" s="3" t="s">
        <v>13</v>
      </c>
      <c r="E10" s="3" t="s">
        <v>10</v>
      </c>
      <c r="F10" s="3" t="s">
        <v>34</v>
      </c>
      <c r="G10" s="3">
        <v>45</v>
      </c>
      <c r="H10" s="4">
        <v>12.22</v>
      </c>
      <c r="K10" s="8" t="s">
        <v>82</v>
      </c>
    </row>
    <row r="11" spans="1:11" x14ac:dyDescent="0.3">
      <c r="A11" s="2">
        <v>44500</v>
      </c>
      <c r="B11" s="3">
        <v>10</v>
      </c>
      <c r="C11" s="3" t="s">
        <v>35</v>
      </c>
      <c r="D11" s="3" t="s">
        <v>9</v>
      </c>
      <c r="E11" s="3" t="s">
        <v>14</v>
      </c>
      <c r="F11" s="3" t="s">
        <v>36</v>
      </c>
      <c r="G11" s="3">
        <v>50</v>
      </c>
      <c r="H11" s="4">
        <v>14</v>
      </c>
      <c r="K11" s="8"/>
    </row>
    <row r="12" spans="1:11" x14ac:dyDescent="0.3">
      <c r="A12" s="2">
        <v>44530</v>
      </c>
      <c r="B12" s="3">
        <v>11</v>
      </c>
      <c r="C12" s="3" t="s">
        <v>37</v>
      </c>
      <c r="D12" s="3" t="s">
        <v>17</v>
      </c>
      <c r="E12" s="3" t="s">
        <v>18</v>
      </c>
      <c r="F12" s="3" t="s">
        <v>38</v>
      </c>
      <c r="G12" s="3">
        <v>5</v>
      </c>
      <c r="H12" s="4">
        <v>160</v>
      </c>
      <c r="K12" s="8" t="s">
        <v>83</v>
      </c>
    </row>
    <row r="13" spans="1:11" x14ac:dyDescent="0.3">
      <c r="A13" s="2">
        <v>44561</v>
      </c>
      <c r="B13" s="3">
        <v>12</v>
      </c>
      <c r="C13" s="3" t="s">
        <v>39</v>
      </c>
      <c r="D13" s="3" t="s">
        <v>22</v>
      </c>
      <c r="E13" s="3" t="s">
        <v>23</v>
      </c>
      <c r="F13" s="3" t="s">
        <v>40</v>
      </c>
      <c r="G13" s="3">
        <v>20</v>
      </c>
      <c r="H13" s="4">
        <v>45</v>
      </c>
    </row>
    <row r="14" spans="1:11" x14ac:dyDescent="0.3">
      <c r="A14" s="2">
        <v>44592</v>
      </c>
      <c r="B14" s="3">
        <v>13</v>
      </c>
      <c r="C14" s="3" t="s">
        <v>41</v>
      </c>
      <c r="D14" s="3" t="s">
        <v>13</v>
      </c>
      <c r="E14" s="3" t="s">
        <v>10</v>
      </c>
      <c r="F14" s="3" t="s">
        <v>42</v>
      </c>
      <c r="G14" s="3">
        <v>0</v>
      </c>
      <c r="H14" s="3" t="s">
        <v>20</v>
      </c>
      <c r="K14" t="s">
        <v>84</v>
      </c>
    </row>
    <row r="15" spans="1:11" x14ac:dyDescent="0.3">
      <c r="A15" s="2">
        <v>44620</v>
      </c>
      <c r="B15" s="3">
        <v>14</v>
      </c>
      <c r="C15" s="3" t="s">
        <v>43</v>
      </c>
      <c r="D15" s="3"/>
      <c r="E15" s="3" t="s">
        <v>14</v>
      </c>
      <c r="F15" s="3" t="s">
        <v>44</v>
      </c>
      <c r="G15" s="3">
        <v>30</v>
      </c>
      <c r="H15" s="4">
        <v>36.67</v>
      </c>
      <c r="K15" s="6"/>
    </row>
    <row r="16" spans="1:11" ht="15" x14ac:dyDescent="0.3">
      <c r="A16" s="2">
        <v>44316</v>
      </c>
      <c r="B16" s="3">
        <v>4</v>
      </c>
      <c r="C16" s="3" t="s">
        <v>21</v>
      </c>
      <c r="D16" s="3" t="s">
        <v>22</v>
      </c>
      <c r="E16" s="3" t="s">
        <v>23</v>
      </c>
      <c r="F16" s="3" t="s">
        <v>24</v>
      </c>
      <c r="G16" s="3">
        <v>25</v>
      </c>
      <c r="H16" s="4">
        <v>10</v>
      </c>
      <c r="K16" s="11" t="s">
        <v>85</v>
      </c>
    </row>
    <row r="17" spans="1:11" x14ac:dyDescent="0.3">
      <c r="A17" s="2">
        <v>44347</v>
      </c>
      <c r="B17" s="3">
        <v>5</v>
      </c>
      <c r="C17" s="3" t="s">
        <v>25</v>
      </c>
      <c r="D17" s="3" t="s">
        <v>13</v>
      </c>
      <c r="E17" s="3" t="s">
        <v>10</v>
      </c>
      <c r="F17" s="3" t="s">
        <v>26</v>
      </c>
      <c r="G17" s="3">
        <v>30</v>
      </c>
      <c r="H17" s="4">
        <v>16.670000000000002</v>
      </c>
    </row>
    <row r="18" spans="1:11" x14ac:dyDescent="0.3">
      <c r="A18" s="2">
        <v>44377</v>
      </c>
      <c r="B18" s="3">
        <v>6</v>
      </c>
      <c r="C18" s="3" t="s">
        <v>27</v>
      </c>
      <c r="D18" s="3"/>
      <c r="E18" s="3" t="s">
        <v>14</v>
      </c>
      <c r="F18" s="3" t="s">
        <v>28</v>
      </c>
      <c r="G18" s="3">
        <v>0</v>
      </c>
      <c r="H18" s="3" t="s">
        <v>20</v>
      </c>
      <c r="K18" t="s">
        <v>86</v>
      </c>
    </row>
    <row r="19" spans="1:11" x14ac:dyDescent="0.3">
      <c r="A19" s="2">
        <v>44651</v>
      </c>
      <c r="B19" s="3">
        <v>15</v>
      </c>
      <c r="C19" s="3" t="s">
        <v>45</v>
      </c>
      <c r="D19" s="3" t="s">
        <v>17</v>
      </c>
      <c r="E19" s="3" t="s">
        <v>18</v>
      </c>
      <c r="F19" s="3" t="s">
        <v>46</v>
      </c>
      <c r="G19" s="3">
        <v>35</v>
      </c>
      <c r="H19" s="4">
        <v>34.29</v>
      </c>
    </row>
    <row r="20" spans="1:11" x14ac:dyDescent="0.3">
      <c r="A20" s="2">
        <v>44681</v>
      </c>
      <c r="B20" s="3">
        <v>16</v>
      </c>
      <c r="C20" s="3" t="s">
        <v>47</v>
      </c>
      <c r="D20" s="3"/>
      <c r="E20" s="3" t="s">
        <v>23</v>
      </c>
      <c r="F20" s="3" t="s">
        <v>48</v>
      </c>
      <c r="G20" s="3">
        <v>0</v>
      </c>
      <c r="H20" s="3" t="s">
        <v>20</v>
      </c>
    </row>
    <row r="21" spans="1:11" x14ac:dyDescent="0.3">
      <c r="A21" s="2">
        <v>44712</v>
      </c>
      <c r="B21" s="3">
        <v>17</v>
      </c>
      <c r="C21" s="3" t="s">
        <v>49</v>
      </c>
      <c r="D21" s="3" t="s">
        <v>13</v>
      </c>
      <c r="E21" s="3" t="s">
        <v>10</v>
      </c>
      <c r="F21" s="3" t="s">
        <v>50</v>
      </c>
      <c r="G21" s="3">
        <v>40</v>
      </c>
      <c r="H21" s="4">
        <v>35</v>
      </c>
    </row>
    <row r="22" spans="1:11" ht="23.4" x14ac:dyDescent="0.3">
      <c r="A22" s="2">
        <v>44742</v>
      </c>
      <c r="B22" s="3">
        <v>18</v>
      </c>
      <c r="C22" s="3" t="s">
        <v>51</v>
      </c>
      <c r="D22" s="3" t="s">
        <v>9</v>
      </c>
      <c r="E22" s="3" t="s">
        <v>14</v>
      </c>
      <c r="F22" s="3" t="s">
        <v>52</v>
      </c>
      <c r="G22" s="3">
        <v>45</v>
      </c>
      <c r="H22" s="4">
        <v>33.33</v>
      </c>
      <c r="K22" s="10" t="s">
        <v>87</v>
      </c>
    </row>
    <row r="23" spans="1:11" x14ac:dyDescent="0.3">
      <c r="A23" s="2">
        <v>44773</v>
      </c>
      <c r="B23" s="3">
        <v>19</v>
      </c>
      <c r="C23" s="3" t="s">
        <v>53</v>
      </c>
      <c r="D23" s="3" t="s">
        <v>17</v>
      </c>
      <c r="E23" s="3" t="s">
        <v>18</v>
      </c>
      <c r="F23" s="3" t="s">
        <v>54</v>
      </c>
      <c r="G23" s="3">
        <v>50</v>
      </c>
      <c r="H23" s="4">
        <v>32</v>
      </c>
    </row>
    <row r="24" spans="1:11" x14ac:dyDescent="0.3">
      <c r="A24" s="2">
        <v>44804</v>
      </c>
      <c r="B24" s="3">
        <v>20</v>
      </c>
      <c r="C24" s="3" t="s">
        <v>55</v>
      </c>
      <c r="D24" s="3" t="s">
        <v>22</v>
      </c>
      <c r="E24" s="3" t="s">
        <v>23</v>
      </c>
      <c r="F24" s="3" t="s">
        <v>56</v>
      </c>
      <c r="G24" s="3">
        <v>55</v>
      </c>
      <c r="H24" s="4">
        <v>30.91</v>
      </c>
      <c r="K24" t="s">
        <v>88</v>
      </c>
    </row>
    <row r="25" spans="1:11" x14ac:dyDescent="0.3">
      <c r="A25" s="2">
        <v>44834</v>
      </c>
      <c r="B25" s="3">
        <v>21</v>
      </c>
      <c r="C25" s="3" t="s">
        <v>57</v>
      </c>
      <c r="D25" s="3" t="s">
        <v>13</v>
      </c>
      <c r="E25" s="3" t="s">
        <v>10</v>
      </c>
      <c r="F25" s="3" t="s">
        <v>58</v>
      </c>
      <c r="G25" s="3">
        <v>60</v>
      </c>
      <c r="H25" s="4">
        <v>30</v>
      </c>
    </row>
    <row r="26" spans="1:11" ht="18" x14ac:dyDescent="0.3">
      <c r="A26" s="2">
        <v>44865</v>
      </c>
      <c r="B26" s="3">
        <v>22</v>
      </c>
      <c r="C26" s="3" t="s">
        <v>59</v>
      </c>
      <c r="D26" s="3" t="s">
        <v>9</v>
      </c>
      <c r="E26" s="3" t="s">
        <v>14</v>
      </c>
      <c r="F26" s="3" t="s">
        <v>60</v>
      </c>
      <c r="G26" s="3">
        <v>0</v>
      </c>
      <c r="H26" s="3" t="s">
        <v>20</v>
      </c>
      <c r="K26" s="7" t="s">
        <v>89</v>
      </c>
    </row>
    <row r="27" spans="1:11" x14ac:dyDescent="0.3">
      <c r="A27" s="2">
        <v>44895</v>
      </c>
      <c r="B27" s="3">
        <v>23</v>
      </c>
      <c r="C27" s="3" t="s">
        <v>61</v>
      </c>
      <c r="D27" s="3" t="s">
        <v>17</v>
      </c>
      <c r="E27" s="3" t="s">
        <v>18</v>
      </c>
      <c r="F27" s="3" t="s">
        <v>62</v>
      </c>
      <c r="G27" s="3">
        <v>65</v>
      </c>
      <c r="H27" s="4">
        <v>30.77</v>
      </c>
      <c r="K27" s="8"/>
    </row>
    <row r="28" spans="1:11" x14ac:dyDescent="0.3">
      <c r="A28" s="2">
        <v>44926</v>
      </c>
      <c r="B28" s="3">
        <v>24</v>
      </c>
      <c r="C28" s="3" t="s">
        <v>63</v>
      </c>
      <c r="D28" s="3" t="s">
        <v>22</v>
      </c>
      <c r="E28" s="3" t="s">
        <v>23</v>
      </c>
      <c r="F28" s="3" t="s">
        <v>64</v>
      </c>
      <c r="G28" s="3">
        <v>70</v>
      </c>
      <c r="H28" s="4">
        <v>30</v>
      </c>
      <c r="K28" s="8" t="s">
        <v>90</v>
      </c>
    </row>
    <row r="29" spans="1:11" x14ac:dyDescent="0.3">
      <c r="A29" s="2">
        <v>44957</v>
      </c>
      <c r="B29" s="3">
        <v>25</v>
      </c>
      <c r="C29" s="3" t="s">
        <v>65</v>
      </c>
      <c r="D29" s="3" t="s">
        <v>66</v>
      </c>
      <c r="E29" s="3" t="s">
        <v>67</v>
      </c>
      <c r="F29" s="3" t="s">
        <v>68</v>
      </c>
      <c r="G29" s="3">
        <v>75</v>
      </c>
      <c r="H29" s="4">
        <v>29.33</v>
      </c>
      <c r="K29" s="8"/>
    </row>
    <row r="30" spans="1:11" x14ac:dyDescent="0.3">
      <c r="A30" s="2">
        <v>44985</v>
      </c>
      <c r="B30" s="3">
        <v>26</v>
      </c>
      <c r="C30" s="3" t="s">
        <v>69</v>
      </c>
      <c r="D30" s="3" t="s">
        <v>66</v>
      </c>
      <c r="E30" s="3" t="s">
        <v>70</v>
      </c>
      <c r="F30" s="3" t="s">
        <v>71</v>
      </c>
      <c r="G30" s="3">
        <v>80</v>
      </c>
      <c r="H30" s="4">
        <v>28.75</v>
      </c>
      <c r="K30" s="8" t="s">
        <v>91</v>
      </c>
    </row>
    <row r="31" spans="1:11" x14ac:dyDescent="0.3">
      <c r="A31" s="2">
        <v>45016</v>
      </c>
      <c r="B31" s="3">
        <v>27</v>
      </c>
      <c r="C31" s="3" t="s">
        <v>41</v>
      </c>
      <c r="D31" s="3" t="s">
        <v>13</v>
      </c>
      <c r="E31" s="3" t="s">
        <v>72</v>
      </c>
      <c r="F31" s="3" t="s">
        <v>73</v>
      </c>
      <c r="G31" s="3">
        <v>0</v>
      </c>
      <c r="H31" s="3" t="s">
        <v>20</v>
      </c>
      <c r="K31" s="8"/>
    </row>
    <row r="32" spans="1:11" x14ac:dyDescent="0.3">
      <c r="A32" s="2">
        <v>45046</v>
      </c>
      <c r="B32" s="3">
        <v>28</v>
      </c>
      <c r="C32" s="3" t="s">
        <v>39</v>
      </c>
      <c r="D32" s="3" t="s">
        <v>22</v>
      </c>
      <c r="E32" s="3" t="s">
        <v>74</v>
      </c>
      <c r="F32" s="3" t="s">
        <v>75</v>
      </c>
      <c r="G32" s="3">
        <v>85</v>
      </c>
      <c r="H32" s="4">
        <v>29.41</v>
      </c>
      <c r="K32" s="8" t="s">
        <v>92</v>
      </c>
    </row>
    <row r="33" spans="11:13" x14ac:dyDescent="0.3">
      <c r="K33" s="8"/>
    </row>
    <row r="34" spans="11:13" x14ac:dyDescent="0.3">
      <c r="K34" s="8" t="s">
        <v>93</v>
      </c>
    </row>
    <row r="36" spans="11:13" x14ac:dyDescent="0.3">
      <c r="K36" t="s">
        <v>94</v>
      </c>
    </row>
    <row r="40" spans="11:13" ht="23.4" x14ac:dyDescent="0.3">
      <c r="K40" s="10" t="s">
        <v>95</v>
      </c>
    </row>
    <row r="42" spans="11:13" x14ac:dyDescent="0.3">
      <c r="K42" t="s">
        <v>96</v>
      </c>
    </row>
    <row r="43" spans="11:13" x14ac:dyDescent="0.3">
      <c r="K43" t="s">
        <v>97</v>
      </c>
    </row>
    <row r="45" spans="11:13" x14ac:dyDescent="0.3">
      <c r="K45" t="s">
        <v>98</v>
      </c>
    </row>
    <row r="47" spans="11:13" x14ac:dyDescent="0.3">
      <c r="K47" s="12" t="s">
        <v>99</v>
      </c>
      <c r="L47" s="12" t="s">
        <v>100</v>
      </c>
      <c r="M47" s="12" t="s">
        <v>101</v>
      </c>
    </row>
    <row r="48" spans="11:13" x14ac:dyDescent="0.3">
      <c r="K48" s="14" t="s">
        <v>102</v>
      </c>
      <c r="L48" s="13" t="s">
        <v>103</v>
      </c>
      <c r="M48" s="13" t="s">
        <v>104</v>
      </c>
    </row>
    <row r="49" spans="11:13" ht="28.8" x14ac:dyDescent="0.3">
      <c r="K49" s="14" t="s">
        <v>105</v>
      </c>
      <c r="L49" s="13" t="s">
        <v>106</v>
      </c>
      <c r="M49" s="13" t="s">
        <v>107</v>
      </c>
    </row>
    <row r="50" spans="11:13" ht="28.8" x14ac:dyDescent="0.3">
      <c r="K50" s="14" t="s">
        <v>108</v>
      </c>
      <c r="L50" s="13" t="s">
        <v>109</v>
      </c>
      <c r="M50" s="13" t="s">
        <v>110</v>
      </c>
    </row>
    <row r="51" spans="11:13" x14ac:dyDescent="0.3">
      <c r="K51" s="14" t="s">
        <v>111</v>
      </c>
      <c r="L51" s="13" t="s">
        <v>112</v>
      </c>
      <c r="M51" s="13" t="s">
        <v>113</v>
      </c>
    </row>
    <row r="52" spans="11:13" x14ac:dyDescent="0.3">
      <c r="K52" s="14" t="s">
        <v>114</v>
      </c>
      <c r="L52" s="13" t="s">
        <v>115</v>
      </c>
      <c r="M52" s="13" t="s">
        <v>116</v>
      </c>
    </row>
    <row r="53" spans="11:13" x14ac:dyDescent="0.3">
      <c r="K53" s="14" t="s">
        <v>117</v>
      </c>
      <c r="L53" s="13" t="s">
        <v>118</v>
      </c>
      <c r="M53" s="13" t="s">
        <v>119</v>
      </c>
    </row>
    <row r="54" spans="11:13" x14ac:dyDescent="0.3">
      <c r="K54" s="14" t="s">
        <v>120</v>
      </c>
      <c r="L54" s="13" t="s">
        <v>121</v>
      </c>
      <c r="M54" s="13" t="s">
        <v>122</v>
      </c>
    </row>
    <row r="57" spans="11:13" ht="23.4" x14ac:dyDescent="0.3">
      <c r="K57" s="10" t="s">
        <v>123</v>
      </c>
    </row>
    <row r="59" spans="11:13" x14ac:dyDescent="0.3">
      <c r="K59" t="s">
        <v>124</v>
      </c>
    </row>
    <row r="60" spans="11:13" x14ac:dyDescent="0.3">
      <c r="K60" s="8"/>
    </row>
    <row r="61" spans="11:13" x14ac:dyDescent="0.3">
      <c r="K61" s="8" t="s">
        <v>125</v>
      </c>
    </row>
    <row r="62" spans="11:13" x14ac:dyDescent="0.3">
      <c r="K62" s="8"/>
    </row>
    <row r="63" spans="11:13" x14ac:dyDescent="0.3">
      <c r="K63" s="8" t="s">
        <v>126</v>
      </c>
    </row>
    <row r="64" spans="11:13" x14ac:dyDescent="0.3">
      <c r="K64" s="8"/>
    </row>
    <row r="65" spans="11:13" ht="15" x14ac:dyDescent="0.3">
      <c r="K65" s="8" t="s">
        <v>127</v>
      </c>
    </row>
    <row r="66" spans="11:13" x14ac:dyDescent="0.3">
      <c r="K66" s="8"/>
    </row>
    <row r="67" spans="11:13" x14ac:dyDescent="0.3">
      <c r="K67" s="8" t="s">
        <v>128</v>
      </c>
    </row>
    <row r="69" spans="11:13" x14ac:dyDescent="0.3">
      <c r="K69" t="s">
        <v>129</v>
      </c>
    </row>
    <row r="70" spans="11:13" x14ac:dyDescent="0.3">
      <c r="K70" t="s">
        <v>130</v>
      </c>
    </row>
    <row r="72" spans="11:13" ht="23.4" x14ac:dyDescent="0.3">
      <c r="K72" s="10" t="s">
        <v>131</v>
      </c>
    </row>
    <row r="74" spans="11:13" x14ac:dyDescent="0.3">
      <c r="K74" s="12" t="s">
        <v>132</v>
      </c>
      <c r="L74" s="12" t="s">
        <v>133</v>
      </c>
      <c r="M74" s="12" t="s">
        <v>134</v>
      </c>
    </row>
    <row r="75" spans="11:13" x14ac:dyDescent="0.3">
      <c r="K75" s="13" t="s">
        <v>135</v>
      </c>
      <c r="L75" s="13" t="s">
        <v>136</v>
      </c>
      <c r="M75" s="13" t="s">
        <v>137</v>
      </c>
    </row>
    <row r="76" spans="11:13" ht="15" x14ac:dyDescent="0.3">
      <c r="K76" s="13" t="s">
        <v>138</v>
      </c>
      <c r="L76" s="15" t="str">
        <f>TRIM(A2)</f>
        <v>44227</v>
      </c>
      <c r="M76" s="13" t="s">
        <v>139</v>
      </c>
    </row>
    <row r="77" spans="11:13" ht="15" x14ac:dyDescent="0.3">
      <c r="K77" s="13" t="s">
        <v>140</v>
      </c>
      <c r="L77" s="15" t="str">
        <f>PROPER(A2)</f>
        <v>44227</v>
      </c>
      <c r="M77" s="13" t="s">
        <v>141</v>
      </c>
    </row>
    <row r="78" spans="11:13" x14ac:dyDescent="0.3">
      <c r="K78" s="13" t="s">
        <v>142</v>
      </c>
      <c r="L78" s="13" t="s">
        <v>143</v>
      </c>
      <c r="M78" s="13" t="s">
        <v>144</v>
      </c>
    </row>
    <row r="79" spans="11:13" x14ac:dyDescent="0.3">
      <c r="K79" s="13" t="s">
        <v>145</v>
      </c>
      <c r="L79" s="13" t="s">
        <v>146</v>
      </c>
      <c r="M79" s="13" t="s">
        <v>147</v>
      </c>
    </row>
    <row r="80" spans="11:13" x14ac:dyDescent="0.3">
      <c r="K80" s="13" t="s">
        <v>148</v>
      </c>
      <c r="L80" s="13" t="s">
        <v>149</v>
      </c>
      <c r="M80" s="13" t="s">
        <v>150</v>
      </c>
    </row>
    <row r="81" spans="11:13" x14ac:dyDescent="0.3">
      <c r="K81" s="13" t="s">
        <v>151</v>
      </c>
      <c r="L81" s="13" t="s">
        <v>152</v>
      </c>
      <c r="M81" s="13" t="s">
        <v>153</v>
      </c>
    </row>
    <row r="82" spans="11:13" ht="15" x14ac:dyDescent="0.3">
      <c r="K82" s="13" t="s">
        <v>154</v>
      </c>
      <c r="L82" s="15" t="str">
        <f>IFERROR(formula,"")</f>
        <v/>
      </c>
      <c r="M82" s="13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2FE2B-F228-4FF8-A69C-2C6AA6127212}">
  <dimension ref="A1:M59"/>
  <sheetViews>
    <sheetView workbookViewId="0">
      <selection activeCell="I8" sqref="I8"/>
    </sheetView>
  </sheetViews>
  <sheetFormatPr defaultRowHeight="14.4" x14ac:dyDescent="0.3"/>
  <sheetData>
    <row r="1" spans="1:13" x14ac:dyDescent="0.3">
      <c r="A1" s="9" t="s">
        <v>220</v>
      </c>
      <c r="M1" s="9" t="s">
        <v>221</v>
      </c>
    </row>
    <row r="2" spans="1:13" x14ac:dyDescent="0.3">
      <c r="M2" t="s">
        <v>222</v>
      </c>
    </row>
    <row r="3" spans="1:13" ht="18" x14ac:dyDescent="0.3">
      <c r="A3" t="s">
        <v>2</v>
      </c>
      <c r="B3" t="s">
        <v>167</v>
      </c>
      <c r="C3" t="s">
        <v>168</v>
      </c>
      <c r="D3" t="s">
        <v>169</v>
      </c>
      <c r="E3" t="s">
        <v>170</v>
      </c>
      <c r="F3" t="s">
        <v>171</v>
      </c>
      <c r="G3" t="s">
        <v>172</v>
      </c>
      <c r="H3" t="s">
        <v>173</v>
      </c>
      <c r="K3" s="17"/>
      <c r="M3" t="s">
        <v>223</v>
      </c>
    </row>
    <row r="4" spans="1:13" x14ac:dyDescent="0.3">
      <c r="A4" t="s">
        <v>174</v>
      </c>
      <c r="B4" t="s">
        <v>175</v>
      </c>
      <c r="C4">
        <v>16</v>
      </c>
      <c r="D4">
        <v>10</v>
      </c>
      <c r="E4" t="s">
        <v>176</v>
      </c>
      <c r="F4">
        <v>84</v>
      </c>
      <c r="G4">
        <v>79</v>
      </c>
      <c r="H4">
        <v>81</v>
      </c>
      <c r="K4" s="8"/>
      <c r="M4" t="s">
        <v>224</v>
      </c>
    </row>
    <row r="5" spans="1:13" x14ac:dyDescent="0.3">
      <c r="A5" t="s">
        <v>177</v>
      </c>
      <c r="B5" t="s">
        <v>175</v>
      </c>
      <c r="C5">
        <v>11</v>
      </c>
      <c r="D5">
        <v>5</v>
      </c>
      <c r="E5" t="s">
        <v>178</v>
      </c>
      <c r="F5">
        <v>82</v>
      </c>
      <c r="G5">
        <v>83</v>
      </c>
      <c r="H5">
        <v>91</v>
      </c>
      <c r="K5" s="8"/>
      <c r="M5" t="s">
        <v>225</v>
      </c>
    </row>
    <row r="6" spans="1:13" x14ac:dyDescent="0.3">
      <c r="A6" t="s">
        <v>179</v>
      </c>
      <c r="B6" t="s">
        <v>180</v>
      </c>
      <c r="C6">
        <v>15</v>
      </c>
      <c r="D6">
        <v>8</v>
      </c>
      <c r="E6" t="s">
        <v>181</v>
      </c>
      <c r="F6">
        <v>81</v>
      </c>
      <c r="G6">
        <v>78</v>
      </c>
      <c r="H6">
        <v>88</v>
      </c>
      <c r="K6" s="8"/>
      <c r="M6" t="s">
        <v>226</v>
      </c>
    </row>
    <row r="7" spans="1:13" x14ac:dyDescent="0.3">
      <c r="A7" t="s">
        <v>182</v>
      </c>
      <c r="B7" t="s">
        <v>175</v>
      </c>
      <c r="C7">
        <v>14</v>
      </c>
      <c r="D7">
        <v>8</v>
      </c>
      <c r="E7" t="s">
        <v>176</v>
      </c>
      <c r="F7">
        <v>70</v>
      </c>
      <c r="G7">
        <v>75</v>
      </c>
      <c r="H7">
        <v>79</v>
      </c>
      <c r="K7" s="8"/>
      <c r="M7" t="s">
        <v>227</v>
      </c>
    </row>
    <row r="8" spans="1:13" x14ac:dyDescent="0.3">
      <c r="A8" t="s">
        <v>183</v>
      </c>
      <c r="B8" t="s">
        <v>180</v>
      </c>
      <c r="C8">
        <v>16</v>
      </c>
      <c r="D8">
        <v>10</v>
      </c>
      <c r="E8" t="s">
        <v>184</v>
      </c>
      <c r="F8">
        <v>88</v>
      </c>
      <c r="G8">
        <v>92</v>
      </c>
      <c r="H8">
        <v>96</v>
      </c>
      <c r="K8" s="8"/>
    </row>
    <row r="9" spans="1:13" x14ac:dyDescent="0.3">
      <c r="A9" t="s">
        <v>185</v>
      </c>
      <c r="B9" t="s">
        <v>175</v>
      </c>
      <c r="C9">
        <v>16</v>
      </c>
      <c r="D9">
        <v>10</v>
      </c>
      <c r="E9" t="s">
        <v>176</v>
      </c>
      <c r="F9">
        <v>82</v>
      </c>
      <c r="G9">
        <v>81</v>
      </c>
      <c r="H9">
        <v>80</v>
      </c>
      <c r="K9" s="8"/>
      <c r="M9" s="9" t="s">
        <v>228</v>
      </c>
    </row>
    <row r="10" spans="1:13" x14ac:dyDescent="0.3">
      <c r="A10" t="s">
        <v>186</v>
      </c>
      <c r="B10" t="s">
        <v>180</v>
      </c>
      <c r="C10">
        <v>14</v>
      </c>
      <c r="D10">
        <v>8</v>
      </c>
      <c r="E10" t="s">
        <v>178</v>
      </c>
      <c r="F10">
        <v>90</v>
      </c>
      <c r="G10">
        <v>86</v>
      </c>
      <c r="H10">
        <v>89</v>
      </c>
      <c r="K10" s="8"/>
      <c r="M10" t="s">
        <v>222</v>
      </c>
    </row>
    <row r="11" spans="1:13" x14ac:dyDescent="0.3">
      <c r="A11" t="s">
        <v>187</v>
      </c>
      <c r="B11" t="s">
        <v>175</v>
      </c>
      <c r="C11">
        <v>15</v>
      </c>
      <c r="D11">
        <v>9</v>
      </c>
      <c r="E11" t="s">
        <v>184</v>
      </c>
      <c r="F11">
        <v>87</v>
      </c>
      <c r="G11">
        <v>89</v>
      </c>
      <c r="H11">
        <v>96</v>
      </c>
      <c r="K11" s="8"/>
      <c r="M11" t="s">
        <v>223</v>
      </c>
    </row>
    <row r="12" spans="1:13" x14ac:dyDescent="0.3">
      <c r="A12" t="s">
        <v>188</v>
      </c>
      <c r="B12" t="s">
        <v>180</v>
      </c>
      <c r="C12">
        <v>17</v>
      </c>
      <c r="D12">
        <v>10</v>
      </c>
      <c r="E12" t="s">
        <v>178</v>
      </c>
      <c r="F12">
        <v>70</v>
      </c>
      <c r="G12">
        <v>90</v>
      </c>
      <c r="H12">
        <v>92</v>
      </c>
      <c r="K12" s="8"/>
      <c r="M12" t="s">
        <v>229</v>
      </c>
    </row>
    <row r="13" spans="1:13" x14ac:dyDescent="0.3">
      <c r="A13" t="s">
        <v>189</v>
      </c>
      <c r="B13" t="s">
        <v>175</v>
      </c>
      <c r="C13">
        <v>12</v>
      </c>
      <c r="D13">
        <v>7</v>
      </c>
      <c r="E13" t="s">
        <v>181</v>
      </c>
      <c r="F13">
        <v>86</v>
      </c>
      <c r="G13">
        <v>92</v>
      </c>
      <c r="H13">
        <v>89</v>
      </c>
      <c r="K13" s="8"/>
      <c r="M13" t="s">
        <v>225</v>
      </c>
    </row>
    <row r="14" spans="1:13" x14ac:dyDescent="0.3">
      <c r="A14" t="s">
        <v>190</v>
      </c>
      <c r="B14" t="s">
        <v>175</v>
      </c>
      <c r="C14">
        <v>11</v>
      </c>
      <c r="D14">
        <v>6</v>
      </c>
      <c r="E14" t="s">
        <v>184</v>
      </c>
      <c r="F14">
        <v>91</v>
      </c>
      <c r="G14">
        <v>81</v>
      </c>
      <c r="H14">
        <v>94</v>
      </c>
      <c r="K14" s="8"/>
      <c r="M14" t="s">
        <v>226</v>
      </c>
    </row>
    <row r="15" spans="1:13" x14ac:dyDescent="0.3">
      <c r="A15" t="s">
        <v>191</v>
      </c>
      <c r="B15" t="s">
        <v>175</v>
      </c>
      <c r="C15">
        <v>16</v>
      </c>
      <c r="D15">
        <v>10</v>
      </c>
      <c r="E15" t="s">
        <v>184</v>
      </c>
      <c r="F15">
        <v>86</v>
      </c>
      <c r="G15">
        <v>81</v>
      </c>
      <c r="H15">
        <v>77</v>
      </c>
      <c r="K15" s="8"/>
      <c r="M15" t="s">
        <v>230</v>
      </c>
    </row>
    <row r="16" spans="1:13" x14ac:dyDescent="0.3">
      <c r="A16" t="s">
        <v>192</v>
      </c>
      <c r="B16" t="s">
        <v>175</v>
      </c>
      <c r="C16">
        <v>15</v>
      </c>
      <c r="D16">
        <v>9</v>
      </c>
      <c r="E16" t="s">
        <v>184</v>
      </c>
      <c r="F16">
        <v>87</v>
      </c>
      <c r="G16">
        <v>89</v>
      </c>
      <c r="H16">
        <v>95</v>
      </c>
      <c r="K16" s="8"/>
    </row>
    <row r="17" spans="1:13" x14ac:dyDescent="0.3">
      <c r="A17" t="s">
        <v>193</v>
      </c>
      <c r="B17" t="s">
        <v>180</v>
      </c>
      <c r="C17">
        <v>15</v>
      </c>
      <c r="D17">
        <v>8</v>
      </c>
      <c r="E17" t="s">
        <v>178</v>
      </c>
      <c r="F17">
        <v>81</v>
      </c>
      <c r="G17">
        <v>90</v>
      </c>
      <c r="H17">
        <v>95</v>
      </c>
      <c r="K17" s="8"/>
      <c r="M17" s="9" t="s">
        <v>231</v>
      </c>
    </row>
    <row r="18" spans="1:13" x14ac:dyDescent="0.3">
      <c r="A18" t="s">
        <v>194</v>
      </c>
      <c r="B18" t="s">
        <v>180</v>
      </c>
      <c r="C18">
        <v>17</v>
      </c>
      <c r="D18">
        <v>10</v>
      </c>
      <c r="E18" t="s">
        <v>178</v>
      </c>
      <c r="F18">
        <v>70</v>
      </c>
      <c r="G18">
        <v>90</v>
      </c>
      <c r="H18">
        <v>92</v>
      </c>
      <c r="K18" s="8"/>
      <c r="M18" t="s">
        <v>222</v>
      </c>
    </row>
    <row r="19" spans="1:13" x14ac:dyDescent="0.3">
      <c r="A19" t="s">
        <v>195</v>
      </c>
      <c r="B19" t="s">
        <v>180</v>
      </c>
      <c r="C19">
        <v>12</v>
      </c>
      <c r="D19">
        <v>7</v>
      </c>
      <c r="E19" t="s">
        <v>181</v>
      </c>
      <c r="F19">
        <v>86</v>
      </c>
      <c r="G19">
        <v>92</v>
      </c>
      <c r="H19">
        <v>89</v>
      </c>
      <c r="K19" s="8"/>
      <c r="M19" t="s">
        <v>223</v>
      </c>
    </row>
    <row r="20" spans="1:13" x14ac:dyDescent="0.3">
      <c r="A20" t="s">
        <v>196</v>
      </c>
      <c r="B20" t="s">
        <v>180</v>
      </c>
      <c r="C20">
        <v>16</v>
      </c>
      <c r="D20">
        <v>10</v>
      </c>
      <c r="E20" t="s">
        <v>181</v>
      </c>
      <c r="F20">
        <v>81</v>
      </c>
      <c r="G20">
        <v>80</v>
      </c>
      <c r="H20">
        <v>87</v>
      </c>
      <c r="M20" t="s">
        <v>232</v>
      </c>
    </row>
    <row r="21" spans="1:13" x14ac:dyDescent="0.3">
      <c r="A21" t="s">
        <v>197</v>
      </c>
      <c r="B21" t="s">
        <v>180</v>
      </c>
      <c r="C21">
        <v>16</v>
      </c>
      <c r="D21">
        <v>10</v>
      </c>
      <c r="E21" t="s">
        <v>181</v>
      </c>
      <c r="F21">
        <v>81</v>
      </c>
      <c r="G21">
        <v>80</v>
      </c>
      <c r="H21">
        <v>87</v>
      </c>
      <c r="M21" t="s">
        <v>233</v>
      </c>
    </row>
    <row r="22" spans="1:13" x14ac:dyDescent="0.3">
      <c r="A22" t="s">
        <v>198</v>
      </c>
      <c r="B22" t="s">
        <v>175</v>
      </c>
      <c r="C22">
        <v>15</v>
      </c>
      <c r="D22">
        <v>9</v>
      </c>
      <c r="E22" t="s">
        <v>178</v>
      </c>
      <c r="F22">
        <v>87</v>
      </c>
      <c r="G22">
        <v>89</v>
      </c>
      <c r="H22">
        <v>95</v>
      </c>
      <c r="M22" t="s">
        <v>226</v>
      </c>
    </row>
    <row r="23" spans="1:13" x14ac:dyDescent="0.3">
      <c r="A23" t="s">
        <v>199</v>
      </c>
      <c r="B23" t="s">
        <v>180</v>
      </c>
      <c r="C23">
        <v>11</v>
      </c>
      <c r="D23">
        <v>6</v>
      </c>
      <c r="E23" t="s">
        <v>178</v>
      </c>
      <c r="F23">
        <v>88</v>
      </c>
      <c r="G23">
        <v>90</v>
      </c>
      <c r="H23">
        <v>92</v>
      </c>
      <c r="M23" t="s">
        <v>234</v>
      </c>
    </row>
    <row r="24" spans="1:13" x14ac:dyDescent="0.3">
      <c r="A24" t="s">
        <v>200</v>
      </c>
      <c r="B24" t="s">
        <v>180</v>
      </c>
      <c r="C24">
        <v>16</v>
      </c>
      <c r="D24">
        <v>10</v>
      </c>
      <c r="E24" t="s">
        <v>176</v>
      </c>
      <c r="F24">
        <v>70</v>
      </c>
      <c r="G24">
        <v>87</v>
      </c>
      <c r="H24">
        <v>85</v>
      </c>
    </row>
    <row r="25" spans="1:13" x14ac:dyDescent="0.3">
      <c r="A25" t="s">
        <v>201</v>
      </c>
      <c r="B25" t="s">
        <v>180</v>
      </c>
      <c r="C25">
        <v>14</v>
      </c>
      <c r="D25">
        <v>8</v>
      </c>
      <c r="E25" t="s">
        <v>184</v>
      </c>
      <c r="F25">
        <v>91</v>
      </c>
      <c r="G25">
        <v>96</v>
      </c>
      <c r="H25">
        <v>98</v>
      </c>
      <c r="M25" s="9" t="s">
        <v>235</v>
      </c>
    </row>
    <row r="26" spans="1:13" x14ac:dyDescent="0.3">
      <c r="M26" t="s">
        <v>222</v>
      </c>
    </row>
    <row r="27" spans="1:13" x14ac:dyDescent="0.3">
      <c r="M27" t="s">
        <v>223</v>
      </c>
    </row>
    <row r="28" spans="1:13" ht="18" x14ac:dyDescent="0.3">
      <c r="A28" s="17" t="s">
        <v>202</v>
      </c>
      <c r="M28" t="s">
        <v>229</v>
      </c>
    </row>
    <row r="29" spans="1:13" x14ac:dyDescent="0.3">
      <c r="M29" t="s">
        <v>225</v>
      </c>
    </row>
    <row r="30" spans="1:13" x14ac:dyDescent="0.3">
      <c r="A30" s="18" t="s">
        <v>203</v>
      </c>
      <c r="M30" t="s">
        <v>236</v>
      </c>
    </row>
    <row r="31" spans="1:13" x14ac:dyDescent="0.3">
      <c r="A31" t="s">
        <v>204</v>
      </c>
      <c r="M31" t="s">
        <v>237</v>
      </c>
    </row>
    <row r="33" spans="1:1" x14ac:dyDescent="0.3">
      <c r="A33" s="18" t="s">
        <v>205</v>
      </c>
    </row>
    <row r="34" spans="1:1" x14ac:dyDescent="0.3">
      <c r="A34" t="s">
        <v>206</v>
      </c>
    </row>
    <row r="35" spans="1:1" x14ac:dyDescent="0.3">
      <c r="A35" s="8"/>
    </row>
    <row r="36" spans="1:1" x14ac:dyDescent="0.3">
      <c r="A36" s="19" t="s">
        <v>207</v>
      </c>
    </row>
    <row r="37" spans="1:1" x14ac:dyDescent="0.3">
      <c r="A37" s="8"/>
    </row>
    <row r="38" spans="1:1" x14ac:dyDescent="0.3">
      <c r="A38" s="19" t="s">
        <v>208</v>
      </c>
    </row>
    <row r="39" spans="1:1" x14ac:dyDescent="0.3">
      <c r="A39" s="8"/>
    </row>
    <row r="40" spans="1:1" x14ac:dyDescent="0.3">
      <c r="A40" s="19" t="s">
        <v>209</v>
      </c>
    </row>
    <row r="41" spans="1:1" x14ac:dyDescent="0.3">
      <c r="A41" s="8"/>
    </row>
    <row r="42" spans="1:1" x14ac:dyDescent="0.3">
      <c r="A42" s="19" t="s">
        <v>210</v>
      </c>
    </row>
    <row r="44" spans="1:1" x14ac:dyDescent="0.3">
      <c r="A44" s="18" t="s">
        <v>211</v>
      </c>
    </row>
    <row r="45" spans="1:1" x14ac:dyDescent="0.3">
      <c r="A45" t="s">
        <v>212</v>
      </c>
    </row>
    <row r="46" spans="1:1" x14ac:dyDescent="0.3">
      <c r="A46" s="8"/>
    </row>
    <row r="47" spans="1:1" x14ac:dyDescent="0.3">
      <c r="A47" s="8" t="s">
        <v>213</v>
      </c>
    </row>
    <row r="48" spans="1:1" x14ac:dyDescent="0.3">
      <c r="A48" s="8"/>
    </row>
    <row r="49" spans="1:1" x14ac:dyDescent="0.3">
      <c r="A49" s="8" t="s">
        <v>214</v>
      </c>
    </row>
    <row r="50" spans="1:1" x14ac:dyDescent="0.3">
      <c r="A50" s="8"/>
    </row>
    <row r="51" spans="1:1" x14ac:dyDescent="0.3">
      <c r="A51" s="8" t="s">
        <v>215</v>
      </c>
    </row>
    <row r="53" spans="1:1" x14ac:dyDescent="0.3">
      <c r="A53" s="18" t="s">
        <v>216</v>
      </c>
    </row>
    <row r="54" spans="1:1" x14ac:dyDescent="0.3">
      <c r="A54" s="8"/>
    </row>
    <row r="55" spans="1:1" x14ac:dyDescent="0.3">
      <c r="A55" s="8" t="s">
        <v>217</v>
      </c>
    </row>
    <row r="56" spans="1:1" x14ac:dyDescent="0.3">
      <c r="A56" s="8"/>
    </row>
    <row r="57" spans="1:1" x14ac:dyDescent="0.3">
      <c r="A57" s="8" t="s">
        <v>218</v>
      </c>
    </row>
    <row r="58" spans="1:1" x14ac:dyDescent="0.3">
      <c r="A58" s="8"/>
    </row>
    <row r="59" spans="1:1" x14ac:dyDescent="0.3">
      <c r="A59" s="8" t="s">
        <v>219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D0BC9-BACB-473D-BA06-4D0926878BBA}">
  <dimension ref="A1:K25"/>
  <sheetViews>
    <sheetView tabSelected="1" workbookViewId="0">
      <selection activeCell="I8" sqref="I8"/>
    </sheetView>
  </sheetViews>
  <sheetFormatPr defaultRowHeight="14.4" x14ac:dyDescent="0.3"/>
  <cols>
    <col min="1" max="1" width="11.77734375" customWidth="1"/>
    <col min="2" max="2" width="15" customWidth="1"/>
    <col min="3" max="3" width="18.109375" bestFit="1" customWidth="1"/>
    <col min="8" max="8" width="15.6640625" customWidth="1"/>
    <col min="9" max="9" width="14.6640625" bestFit="1" customWidth="1"/>
    <col min="10" max="10" width="13.77734375" customWidth="1"/>
    <col min="11" max="11" width="9.5546875" bestFit="1" customWidth="1"/>
    <col min="12" max="12" width="12.6640625" bestFit="1" customWidth="1"/>
  </cols>
  <sheetData>
    <row r="1" spans="1:11" ht="13.8" customHeight="1" x14ac:dyDescent="0.3"/>
    <row r="2" spans="1:11" ht="14.4" customHeight="1" x14ac:dyDescent="0.3">
      <c r="A2" s="43" t="s">
        <v>1193</v>
      </c>
      <c r="B2" s="43"/>
      <c r="C2" s="43"/>
    </row>
    <row r="3" spans="1:11" ht="14.4" customHeight="1" x14ac:dyDescent="0.3">
      <c r="A3" s="43"/>
      <c r="B3" s="43"/>
      <c r="C3" s="43"/>
      <c r="I3" s="45" t="s">
        <v>1194</v>
      </c>
      <c r="J3" s="45" t="s">
        <v>1195</v>
      </c>
      <c r="K3" s="5"/>
    </row>
    <row r="4" spans="1:11" ht="14.4" customHeight="1" x14ac:dyDescent="0.3">
      <c r="H4" s="44" t="s">
        <v>238</v>
      </c>
      <c r="I4" s="41" t="s">
        <v>239</v>
      </c>
      <c r="J4" s="42" t="s">
        <v>76</v>
      </c>
      <c r="K4" s="5"/>
    </row>
    <row r="5" spans="1:11" x14ac:dyDescent="0.3">
      <c r="K5" s="5"/>
    </row>
    <row r="6" spans="1:11" x14ac:dyDescent="0.3">
      <c r="A6" s="41" t="s">
        <v>238</v>
      </c>
      <c r="B6" s="41" t="s">
        <v>239</v>
      </c>
      <c r="C6" s="20" t="s">
        <v>162</v>
      </c>
      <c r="K6" s="5"/>
    </row>
    <row r="7" spans="1:11" x14ac:dyDescent="0.3">
      <c r="A7" s="5" t="s">
        <v>240</v>
      </c>
      <c r="B7" t="s">
        <v>166</v>
      </c>
      <c r="C7" s="16" t="s">
        <v>241</v>
      </c>
      <c r="K7" s="5"/>
    </row>
    <row r="8" spans="1:11" x14ac:dyDescent="0.3">
      <c r="A8" s="5" t="s">
        <v>242</v>
      </c>
      <c r="B8" t="s">
        <v>163</v>
      </c>
      <c r="C8" s="16" t="s">
        <v>241</v>
      </c>
      <c r="K8" s="5"/>
    </row>
    <row r="9" spans="1:11" x14ac:dyDescent="0.3">
      <c r="A9" s="5" t="s">
        <v>243</v>
      </c>
      <c r="B9" t="s">
        <v>244</v>
      </c>
      <c r="C9" s="16" t="s">
        <v>165</v>
      </c>
      <c r="K9" s="5"/>
    </row>
    <row r="10" spans="1:11" x14ac:dyDescent="0.3">
      <c r="A10" s="5" t="s">
        <v>245</v>
      </c>
      <c r="B10" t="s">
        <v>246</v>
      </c>
      <c r="C10" s="16" t="s">
        <v>165</v>
      </c>
      <c r="K10" s="5"/>
    </row>
    <row r="11" spans="1:11" x14ac:dyDescent="0.3">
      <c r="A11" s="5" t="s">
        <v>247</v>
      </c>
      <c r="B11" t="s">
        <v>248</v>
      </c>
      <c r="C11" s="16" t="s">
        <v>249</v>
      </c>
      <c r="K11" s="5"/>
    </row>
    <row r="12" spans="1:11" x14ac:dyDescent="0.3">
      <c r="A12" s="5" t="s">
        <v>250</v>
      </c>
      <c r="B12" t="s">
        <v>251</v>
      </c>
      <c r="C12" s="16" t="s">
        <v>252</v>
      </c>
      <c r="K12" s="5"/>
    </row>
    <row r="13" spans="1:11" x14ac:dyDescent="0.3">
      <c r="A13" s="5" t="s">
        <v>253</v>
      </c>
      <c r="B13" t="s">
        <v>254</v>
      </c>
      <c r="C13" s="16" t="s">
        <v>252</v>
      </c>
      <c r="K13" s="5"/>
    </row>
    <row r="14" spans="1:11" x14ac:dyDescent="0.3">
      <c r="A14" s="5" t="s">
        <v>255</v>
      </c>
      <c r="B14" t="s">
        <v>256</v>
      </c>
      <c r="C14" s="16" t="s">
        <v>252</v>
      </c>
      <c r="K14" s="5"/>
    </row>
    <row r="15" spans="1:11" x14ac:dyDescent="0.3">
      <c r="A15" s="5" t="s">
        <v>257</v>
      </c>
      <c r="B15" t="s">
        <v>258</v>
      </c>
      <c r="C15" s="16" t="s">
        <v>259</v>
      </c>
      <c r="K15" s="5"/>
    </row>
    <row r="16" spans="1:11" x14ac:dyDescent="0.3">
      <c r="A16" s="5" t="s">
        <v>260</v>
      </c>
      <c r="B16" t="s">
        <v>261</v>
      </c>
      <c r="C16" s="16" t="s">
        <v>262</v>
      </c>
      <c r="K16" s="5"/>
    </row>
    <row r="17" spans="1:11" x14ac:dyDescent="0.3">
      <c r="A17" s="5" t="s">
        <v>263</v>
      </c>
      <c r="B17" t="s">
        <v>264</v>
      </c>
      <c r="C17" s="16" t="s">
        <v>265</v>
      </c>
      <c r="K17" s="5"/>
    </row>
    <row r="18" spans="1:11" x14ac:dyDescent="0.3">
      <c r="A18" s="5" t="s">
        <v>266</v>
      </c>
      <c r="B18" t="s">
        <v>267</v>
      </c>
      <c r="C18" s="16" t="s">
        <v>265</v>
      </c>
      <c r="K18" s="5"/>
    </row>
    <row r="19" spans="1:11" x14ac:dyDescent="0.3">
      <c r="A19" s="5" t="s">
        <v>268</v>
      </c>
      <c r="B19" t="s">
        <v>269</v>
      </c>
      <c r="C19" s="16" t="s">
        <v>270</v>
      </c>
      <c r="K19" s="5"/>
    </row>
    <row r="20" spans="1:11" x14ac:dyDescent="0.3">
      <c r="A20" s="5" t="s">
        <v>271</v>
      </c>
      <c r="B20" t="s">
        <v>164</v>
      </c>
      <c r="C20" s="16" t="s">
        <v>262</v>
      </c>
      <c r="K20" s="5"/>
    </row>
    <row r="21" spans="1:11" x14ac:dyDescent="0.3">
      <c r="A21" s="5" t="s">
        <v>272</v>
      </c>
      <c r="B21" t="s">
        <v>273</v>
      </c>
      <c r="C21" s="16" t="s">
        <v>262</v>
      </c>
      <c r="K21" s="5"/>
    </row>
    <row r="22" spans="1:11" x14ac:dyDescent="0.3">
      <c r="A22" s="5" t="s">
        <v>274</v>
      </c>
      <c r="B22" t="s">
        <v>275</v>
      </c>
      <c r="C22" s="16" t="s">
        <v>270</v>
      </c>
    </row>
    <row r="23" spans="1:11" x14ac:dyDescent="0.3">
      <c r="A23" s="5" t="s">
        <v>276</v>
      </c>
      <c r="B23" t="s">
        <v>277</v>
      </c>
      <c r="C23" s="16" t="s">
        <v>278</v>
      </c>
    </row>
    <row r="24" spans="1:11" x14ac:dyDescent="0.3">
      <c r="A24" s="5" t="s">
        <v>279</v>
      </c>
      <c r="B24" t="s">
        <v>280</v>
      </c>
      <c r="C24" s="16" t="s">
        <v>259</v>
      </c>
    </row>
    <row r="25" spans="1:11" x14ac:dyDescent="0.3">
      <c r="A25" s="5" t="s">
        <v>281</v>
      </c>
      <c r="B25" t="s">
        <v>282</v>
      </c>
      <c r="C25" s="16" t="s">
        <v>265</v>
      </c>
    </row>
  </sheetData>
  <mergeCells count="1">
    <mergeCell ref="A2:C3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36D72-D2E1-4709-B42C-AEA891FDA2E0}">
  <dimension ref="A1:I101"/>
  <sheetViews>
    <sheetView workbookViewId="0">
      <selection activeCell="K10" sqref="K10"/>
    </sheetView>
  </sheetViews>
  <sheetFormatPr defaultRowHeight="14.4" x14ac:dyDescent="0.3"/>
  <cols>
    <col min="1" max="1" width="9.88671875" customWidth="1"/>
    <col min="2" max="2" width="11.77734375" customWidth="1"/>
    <col min="3" max="3" width="14.33203125" customWidth="1"/>
    <col min="6" max="6" width="10.33203125" bestFit="1" customWidth="1"/>
    <col min="7" max="7" width="16.109375" bestFit="1" customWidth="1"/>
    <col min="8" max="8" width="12.77734375" bestFit="1" customWidth="1"/>
    <col min="9" max="9" width="11.33203125" bestFit="1" customWidth="1"/>
  </cols>
  <sheetData>
    <row r="1" spans="1:9" x14ac:dyDescent="0.3">
      <c r="A1" s="20" t="s">
        <v>283</v>
      </c>
      <c r="B1" s="42" t="s">
        <v>238</v>
      </c>
      <c r="C1" s="20" t="s">
        <v>284</v>
      </c>
      <c r="D1" s="20" t="s">
        <v>285</v>
      </c>
      <c r="E1" s="42" t="s">
        <v>76</v>
      </c>
      <c r="F1" s="21" t="s">
        <v>0</v>
      </c>
      <c r="G1" s="20" t="s">
        <v>286</v>
      </c>
      <c r="H1" s="20" t="s">
        <v>287</v>
      </c>
      <c r="I1" s="20" t="s">
        <v>288</v>
      </c>
    </row>
    <row r="2" spans="1:9" x14ac:dyDescent="0.3">
      <c r="A2">
        <v>1743</v>
      </c>
      <c r="B2" t="s">
        <v>263</v>
      </c>
      <c r="C2">
        <v>7</v>
      </c>
      <c r="D2">
        <v>500</v>
      </c>
      <c r="E2">
        <v>3500</v>
      </c>
      <c r="F2" s="22">
        <v>44927</v>
      </c>
      <c r="G2" t="s">
        <v>289</v>
      </c>
      <c r="H2" t="s">
        <v>290</v>
      </c>
      <c r="I2" t="s">
        <v>291</v>
      </c>
    </row>
    <row r="3" spans="1:9" x14ac:dyDescent="0.3">
      <c r="A3">
        <v>1447</v>
      </c>
      <c r="B3" t="s">
        <v>255</v>
      </c>
      <c r="C3">
        <v>16</v>
      </c>
      <c r="D3">
        <v>9500</v>
      </c>
      <c r="E3">
        <v>152000</v>
      </c>
      <c r="F3" s="22">
        <v>44928</v>
      </c>
      <c r="G3" t="s">
        <v>292</v>
      </c>
      <c r="H3" t="s">
        <v>293</v>
      </c>
      <c r="I3" t="s">
        <v>294</v>
      </c>
    </row>
    <row r="4" spans="1:9" x14ac:dyDescent="0.3">
      <c r="A4">
        <v>1802</v>
      </c>
      <c r="B4" t="s">
        <v>276</v>
      </c>
      <c r="C4">
        <v>18</v>
      </c>
      <c r="D4">
        <v>1350</v>
      </c>
      <c r="E4">
        <v>24300</v>
      </c>
      <c r="F4" s="22">
        <v>44929</v>
      </c>
      <c r="G4" t="s">
        <v>295</v>
      </c>
      <c r="H4" t="s">
        <v>296</v>
      </c>
      <c r="I4" t="s">
        <v>291</v>
      </c>
    </row>
    <row r="5" spans="1:9" x14ac:dyDescent="0.3">
      <c r="A5">
        <v>1495</v>
      </c>
      <c r="B5" t="s">
        <v>247</v>
      </c>
      <c r="C5">
        <v>2</v>
      </c>
      <c r="D5">
        <v>15000</v>
      </c>
      <c r="E5">
        <v>30000</v>
      </c>
      <c r="F5" s="22">
        <v>44930</v>
      </c>
      <c r="G5" t="s">
        <v>297</v>
      </c>
      <c r="H5" t="s">
        <v>290</v>
      </c>
      <c r="I5" t="s">
        <v>294</v>
      </c>
    </row>
    <row r="6" spans="1:9" x14ac:dyDescent="0.3">
      <c r="A6">
        <v>1570</v>
      </c>
      <c r="B6" t="s">
        <v>263</v>
      </c>
      <c r="C6">
        <v>17</v>
      </c>
      <c r="D6">
        <v>500</v>
      </c>
      <c r="E6">
        <v>8500</v>
      </c>
      <c r="F6" s="22">
        <v>44931</v>
      </c>
      <c r="G6" t="s">
        <v>292</v>
      </c>
      <c r="H6" t="s">
        <v>290</v>
      </c>
      <c r="I6" t="s">
        <v>291</v>
      </c>
    </row>
    <row r="7" spans="1:9" x14ac:dyDescent="0.3">
      <c r="A7">
        <v>1822</v>
      </c>
      <c r="B7" t="s">
        <v>250</v>
      </c>
      <c r="C7">
        <v>17</v>
      </c>
      <c r="D7">
        <v>12000</v>
      </c>
      <c r="E7">
        <v>204000</v>
      </c>
      <c r="F7" s="22">
        <v>44932</v>
      </c>
      <c r="G7" t="s">
        <v>298</v>
      </c>
      <c r="H7" t="s">
        <v>293</v>
      </c>
      <c r="I7" t="s">
        <v>299</v>
      </c>
    </row>
    <row r="8" spans="1:9" x14ac:dyDescent="0.3">
      <c r="A8">
        <v>1699</v>
      </c>
      <c r="B8" t="s">
        <v>240</v>
      </c>
      <c r="C8">
        <v>13</v>
      </c>
      <c r="D8">
        <v>800</v>
      </c>
      <c r="E8">
        <v>10400</v>
      </c>
      <c r="F8" s="22">
        <v>44933</v>
      </c>
      <c r="G8" t="s">
        <v>300</v>
      </c>
      <c r="H8" t="s">
        <v>290</v>
      </c>
      <c r="I8" t="s">
        <v>294</v>
      </c>
    </row>
    <row r="9" spans="1:9" x14ac:dyDescent="0.3">
      <c r="A9">
        <v>1492</v>
      </c>
      <c r="B9" t="s">
        <v>247</v>
      </c>
      <c r="C9">
        <v>9</v>
      </c>
      <c r="D9">
        <v>15000</v>
      </c>
      <c r="E9">
        <v>135000</v>
      </c>
      <c r="F9" s="22">
        <v>44934</v>
      </c>
      <c r="G9" t="s">
        <v>301</v>
      </c>
      <c r="H9" t="s">
        <v>293</v>
      </c>
      <c r="I9" t="s">
        <v>291</v>
      </c>
    </row>
    <row r="10" spans="1:9" x14ac:dyDescent="0.3">
      <c r="A10">
        <v>1670</v>
      </c>
      <c r="B10" t="s">
        <v>242</v>
      </c>
      <c r="C10">
        <v>1</v>
      </c>
      <c r="D10">
        <v>500</v>
      </c>
      <c r="E10">
        <v>500</v>
      </c>
      <c r="F10" s="22">
        <v>44935</v>
      </c>
      <c r="G10" t="s">
        <v>302</v>
      </c>
      <c r="H10" t="s">
        <v>290</v>
      </c>
      <c r="I10" t="s">
        <v>299</v>
      </c>
    </row>
    <row r="11" spans="1:9" x14ac:dyDescent="0.3">
      <c r="A11">
        <v>1244</v>
      </c>
      <c r="B11" t="s">
        <v>268</v>
      </c>
      <c r="C11">
        <v>9</v>
      </c>
      <c r="D11">
        <v>1500</v>
      </c>
      <c r="E11">
        <v>13500</v>
      </c>
      <c r="F11" s="22">
        <v>44936</v>
      </c>
      <c r="G11" t="s">
        <v>303</v>
      </c>
      <c r="H11" t="s">
        <v>290</v>
      </c>
      <c r="I11" t="s">
        <v>294</v>
      </c>
    </row>
    <row r="12" spans="1:9" x14ac:dyDescent="0.3">
      <c r="A12">
        <v>1502</v>
      </c>
      <c r="B12" t="s">
        <v>243</v>
      </c>
      <c r="C12">
        <v>13</v>
      </c>
      <c r="D12">
        <v>8000</v>
      </c>
      <c r="E12">
        <v>104000</v>
      </c>
      <c r="F12" s="22">
        <v>44937</v>
      </c>
      <c r="G12" t="s">
        <v>303</v>
      </c>
      <c r="H12" t="s">
        <v>293</v>
      </c>
      <c r="I12" t="s">
        <v>299</v>
      </c>
    </row>
    <row r="13" spans="1:9" x14ac:dyDescent="0.3">
      <c r="A13">
        <v>1493</v>
      </c>
      <c r="B13" t="s">
        <v>247</v>
      </c>
      <c r="C13">
        <v>2</v>
      </c>
      <c r="D13">
        <v>15000</v>
      </c>
      <c r="E13">
        <v>30000</v>
      </c>
      <c r="F13" s="22">
        <v>44938</v>
      </c>
      <c r="G13" t="s">
        <v>304</v>
      </c>
      <c r="H13" t="s">
        <v>296</v>
      </c>
      <c r="I13" t="s">
        <v>291</v>
      </c>
    </row>
    <row r="14" spans="1:9" x14ac:dyDescent="0.3">
      <c r="A14">
        <v>1987</v>
      </c>
      <c r="B14" t="s">
        <v>274</v>
      </c>
      <c r="C14">
        <v>7</v>
      </c>
      <c r="D14">
        <v>5300</v>
      </c>
      <c r="E14">
        <v>37100</v>
      </c>
      <c r="F14" s="22">
        <v>44939</v>
      </c>
      <c r="G14" t="s">
        <v>301</v>
      </c>
      <c r="H14" t="s">
        <v>290</v>
      </c>
      <c r="I14" t="s">
        <v>299</v>
      </c>
    </row>
    <row r="15" spans="1:9" x14ac:dyDescent="0.3">
      <c r="A15">
        <v>1502</v>
      </c>
      <c r="B15" t="s">
        <v>272</v>
      </c>
      <c r="C15">
        <v>6</v>
      </c>
      <c r="D15">
        <v>7600</v>
      </c>
      <c r="E15">
        <v>45600</v>
      </c>
      <c r="F15" s="22">
        <v>44940</v>
      </c>
      <c r="G15" t="s">
        <v>305</v>
      </c>
      <c r="H15" t="s">
        <v>293</v>
      </c>
      <c r="I15" t="s">
        <v>291</v>
      </c>
    </row>
    <row r="16" spans="1:9" x14ac:dyDescent="0.3">
      <c r="A16">
        <v>1821</v>
      </c>
      <c r="B16" t="s">
        <v>274</v>
      </c>
      <c r="C16">
        <v>11</v>
      </c>
      <c r="D16">
        <v>5300</v>
      </c>
      <c r="E16">
        <v>58300</v>
      </c>
      <c r="F16" s="22">
        <v>44941</v>
      </c>
      <c r="G16" t="s">
        <v>306</v>
      </c>
      <c r="H16" t="s">
        <v>293</v>
      </c>
      <c r="I16" t="s">
        <v>299</v>
      </c>
    </row>
    <row r="17" spans="1:9" x14ac:dyDescent="0.3">
      <c r="A17">
        <v>1956</v>
      </c>
      <c r="B17" t="s">
        <v>250</v>
      </c>
      <c r="C17">
        <v>4</v>
      </c>
      <c r="D17">
        <v>12000</v>
      </c>
      <c r="E17">
        <v>48000</v>
      </c>
      <c r="F17" s="22">
        <v>44942</v>
      </c>
      <c r="G17" t="s">
        <v>305</v>
      </c>
      <c r="H17" t="s">
        <v>290</v>
      </c>
      <c r="I17" t="s">
        <v>291</v>
      </c>
    </row>
    <row r="18" spans="1:9" x14ac:dyDescent="0.3">
      <c r="A18">
        <v>1729</v>
      </c>
      <c r="B18" t="s">
        <v>271</v>
      </c>
      <c r="C18">
        <v>8</v>
      </c>
      <c r="D18">
        <v>11500</v>
      </c>
      <c r="E18">
        <v>92000</v>
      </c>
      <c r="F18" s="22">
        <v>44943</v>
      </c>
      <c r="G18" t="s">
        <v>307</v>
      </c>
      <c r="H18" t="s">
        <v>293</v>
      </c>
      <c r="I18" t="s">
        <v>299</v>
      </c>
    </row>
    <row r="19" spans="1:9" x14ac:dyDescent="0.3">
      <c r="A19">
        <v>1288</v>
      </c>
      <c r="B19" t="s">
        <v>279</v>
      </c>
      <c r="C19">
        <v>13</v>
      </c>
      <c r="D19">
        <v>600</v>
      </c>
      <c r="E19">
        <v>7800</v>
      </c>
      <c r="F19" s="22">
        <v>44944</v>
      </c>
      <c r="G19" t="s">
        <v>305</v>
      </c>
      <c r="H19" t="s">
        <v>290</v>
      </c>
      <c r="I19" t="s">
        <v>299</v>
      </c>
    </row>
    <row r="20" spans="1:9" x14ac:dyDescent="0.3">
      <c r="A20">
        <v>1309</v>
      </c>
      <c r="B20" t="s">
        <v>279</v>
      </c>
      <c r="C20">
        <v>17</v>
      </c>
      <c r="D20">
        <v>600</v>
      </c>
      <c r="E20">
        <v>10200</v>
      </c>
      <c r="F20" s="22">
        <v>44945</v>
      </c>
      <c r="G20" t="s">
        <v>308</v>
      </c>
      <c r="H20" t="s">
        <v>293</v>
      </c>
      <c r="I20" t="s">
        <v>299</v>
      </c>
    </row>
    <row r="21" spans="1:9" x14ac:dyDescent="0.3">
      <c r="A21">
        <v>1002</v>
      </c>
      <c r="B21" t="s">
        <v>274</v>
      </c>
      <c r="C21">
        <v>17</v>
      </c>
      <c r="D21">
        <v>5300</v>
      </c>
      <c r="E21">
        <v>90100</v>
      </c>
      <c r="F21" s="22">
        <v>44946</v>
      </c>
      <c r="G21" t="s">
        <v>298</v>
      </c>
      <c r="H21" t="s">
        <v>293</v>
      </c>
      <c r="I21" t="s">
        <v>291</v>
      </c>
    </row>
    <row r="22" spans="1:9" x14ac:dyDescent="0.3">
      <c r="A22">
        <v>1394</v>
      </c>
      <c r="B22" t="s">
        <v>281</v>
      </c>
      <c r="C22">
        <v>14</v>
      </c>
      <c r="D22">
        <v>300</v>
      </c>
      <c r="E22">
        <v>4200</v>
      </c>
      <c r="F22" s="22">
        <v>44947</v>
      </c>
      <c r="G22" t="s">
        <v>303</v>
      </c>
      <c r="H22" t="s">
        <v>293</v>
      </c>
      <c r="I22" t="s">
        <v>299</v>
      </c>
    </row>
    <row r="23" spans="1:9" x14ac:dyDescent="0.3">
      <c r="A23">
        <v>1049</v>
      </c>
      <c r="B23" t="s">
        <v>266</v>
      </c>
      <c r="C23">
        <v>9</v>
      </c>
      <c r="D23">
        <v>650</v>
      </c>
      <c r="E23">
        <v>5850</v>
      </c>
      <c r="F23" s="22">
        <v>44948</v>
      </c>
      <c r="G23" t="s">
        <v>309</v>
      </c>
      <c r="H23" t="s">
        <v>296</v>
      </c>
      <c r="I23" t="s">
        <v>294</v>
      </c>
    </row>
    <row r="24" spans="1:9" x14ac:dyDescent="0.3">
      <c r="A24">
        <v>1005</v>
      </c>
      <c r="B24" t="s">
        <v>260</v>
      </c>
      <c r="C24">
        <v>4</v>
      </c>
      <c r="D24">
        <v>3500</v>
      </c>
      <c r="E24">
        <v>14000</v>
      </c>
      <c r="F24" s="22">
        <v>44949</v>
      </c>
      <c r="G24" t="s">
        <v>310</v>
      </c>
      <c r="H24" t="s">
        <v>290</v>
      </c>
      <c r="I24" t="s">
        <v>294</v>
      </c>
    </row>
    <row r="25" spans="1:9" x14ac:dyDescent="0.3">
      <c r="A25">
        <v>1831</v>
      </c>
      <c r="B25" t="s">
        <v>274</v>
      </c>
      <c r="C25">
        <v>1</v>
      </c>
      <c r="D25">
        <v>5300</v>
      </c>
      <c r="E25">
        <v>5300</v>
      </c>
      <c r="F25" s="22">
        <v>44950</v>
      </c>
      <c r="G25" t="s">
        <v>292</v>
      </c>
      <c r="H25" t="s">
        <v>296</v>
      </c>
      <c r="I25" t="s">
        <v>294</v>
      </c>
    </row>
    <row r="26" spans="1:9" x14ac:dyDescent="0.3">
      <c r="A26">
        <v>1530</v>
      </c>
      <c r="B26" t="s">
        <v>268</v>
      </c>
      <c r="C26">
        <v>11</v>
      </c>
      <c r="D26">
        <v>1500</v>
      </c>
      <c r="E26">
        <v>16500</v>
      </c>
      <c r="F26" s="22">
        <v>44951</v>
      </c>
      <c r="G26" t="s">
        <v>289</v>
      </c>
      <c r="H26" t="s">
        <v>290</v>
      </c>
      <c r="I26" t="s">
        <v>291</v>
      </c>
    </row>
    <row r="27" spans="1:9" x14ac:dyDescent="0.3">
      <c r="A27">
        <v>1123</v>
      </c>
      <c r="B27" t="s">
        <v>253</v>
      </c>
      <c r="C27">
        <v>6</v>
      </c>
      <c r="D27">
        <v>7500</v>
      </c>
      <c r="E27">
        <v>45000</v>
      </c>
      <c r="F27" s="22">
        <v>44952</v>
      </c>
      <c r="G27" t="s">
        <v>311</v>
      </c>
      <c r="H27" t="s">
        <v>290</v>
      </c>
      <c r="I27" t="s">
        <v>291</v>
      </c>
    </row>
    <row r="28" spans="1:9" x14ac:dyDescent="0.3">
      <c r="A28">
        <v>1227</v>
      </c>
      <c r="B28" t="s">
        <v>255</v>
      </c>
      <c r="C28">
        <v>3</v>
      </c>
      <c r="D28">
        <v>9500</v>
      </c>
      <c r="E28">
        <v>28500</v>
      </c>
      <c r="F28" s="22">
        <v>44953</v>
      </c>
      <c r="G28" t="s">
        <v>304</v>
      </c>
      <c r="H28" t="s">
        <v>290</v>
      </c>
      <c r="I28" t="s">
        <v>299</v>
      </c>
    </row>
    <row r="29" spans="1:9" x14ac:dyDescent="0.3">
      <c r="A29">
        <v>1627</v>
      </c>
      <c r="B29" t="s">
        <v>279</v>
      </c>
      <c r="C29">
        <v>15</v>
      </c>
      <c r="D29">
        <v>600</v>
      </c>
      <c r="E29">
        <v>9000</v>
      </c>
      <c r="F29" s="22">
        <v>44954</v>
      </c>
      <c r="G29" t="s">
        <v>298</v>
      </c>
      <c r="H29" t="s">
        <v>296</v>
      </c>
      <c r="I29" t="s">
        <v>291</v>
      </c>
    </row>
    <row r="30" spans="1:9" x14ac:dyDescent="0.3">
      <c r="A30">
        <v>1112</v>
      </c>
      <c r="B30" t="s">
        <v>268</v>
      </c>
      <c r="C30">
        <v>4</v>
      </c>
      <c r="D30">
        <v>1500</v>
      </c>
      <c r="E30">
        <v>6000</v>
      </c>
      <c r="F30" s="22">
        <v>44955</v>
      </c>
      <c r="G30" t="s">
        <v>302</v>
      </c>
      <c r="H30" t="s">
        <v>290</v>
      </c>
      <c r="I30" t="s">
        <v>294</v>
      </c>
    </row>
    <row r="31" spans="1:9" x14ac:dyDescent="0.3">
      <c r="A31">
        <v>1966</v>
      </c>
      <c r="B31" t="s">
        <v>271</v>
      </c>
      <c r="C31">
        <v>19</v>
      </c>
      <c r="D31">
        <v>11500</v>
      </c>
      <c r="E31">
        <v>218500</v>
      </c>
      <c r="F31" s="22">
        <v>44956</v>
      </c>
      <c r="G31" t="s">
        <v>312</v>
      </c>
      <c r="H31" t="s">
        <v>293</v>
      </c>
      <c r="I31" t="s">
        <v>291</v>
      </c>
    </row>
    <row r="32" spans="1:9" x14ac:dyDescent="0.3">
      <c r="A32">
        <v>1600</v>
      </c>
      <c r="B32" t="s">
        <v>279</v>
      </c>
      <c r="C32">
        <v>8</v>
      </c>
      <c r="D32">
        <v>600</v>
      </c>
      <c r="E32">
        <v>4800</v>
      </c>
      <c r="F32" s="22">
        <v>44957</v>
      </c>
      <c r="G32" t="s">
        <v>313</v>
      </c>
      <c r="H32" t="s">
        <v>296</v>
      </c>
      <c r="I32" t="s">
        <v>299</v>
      </c>
    </row>
    <row r="33" spans="1:9" x14ac:dyDescent="0.3">
      <c r="A33">
        <v>1919</v>
      </c>
      <c r="B33" t="s">
        <v>257</v>
      </c>
      <c r="C33">
        <v>18</v>
      </c>
      <c r="D33">
        <v>250</v>
      </c>
      <c r="E33">
        <v>4500</v>
      </c>
      <c r="F33" s="22">
        <v>44958</v>
      </c>
      <c r="G33" t="s">
        <v>298</v>
      </c>
      <c r="H33" t="s">
        <v>296</v>
      </c>
      <c r="I33" t="s">
        <v>294</v>
      </c>
    </row>
    <row r="34" spans="1:9" x14ac:dyDescent="0.3">
      <c r="A34">
        <v>1170</v>
      </c>
      <c r="B34" t="s">
        <v>243</v>
      </c>
      <c r="C34">
        <v>6</v>
      </c>
      <c r="D34">
        <v>8000</v>
      </c>
      <c r="E34">
        <v>48000</v>
      </c>
      <c r="F34" s="22">
        <v>44959</v>
      </c>
      <c r="G34" t="s">
        <v>303</v>
      </c>
      <c r="H34" t="s">
        <v>293</v>
      </c>
      <c r="I34" t="s">
        <v>299</v>
      </c>
    </row>
    <row r="35" spans="1:9" x14ac:dyDescent="0.3">
      <c r="A35">
        <v>1366</v>
      </c>
      <c r="B35" t="s">
        <v>247</v>
      </c>
      <c r="C35">
        <v>10</v>
      </c>
      <c r="D35">
        <v>15000</v>
      </c>
      <c r="E35">
        <v>150000</v>
      </c>
      <c r="F35" s="22">
        <v>44960</v>
      </c>
      <c r="G35" t="s">
        <v>309</v>
      </c>
      <c r="H35" t="s">
        <v>290</v>
      </c>
      <c r="I35" t="s">
        <v>294</v>
      </c>
    </row>
    <row r="36" spans="1:9" x14ac:dyDescent="0.3">
      <c r="A36">
        <v>1307</v>
      </c>
      <c r="B36" t="s">
        <v>253</v>
      </c>
      <c r="C36">
        <v>7</v>
      </c>
      <c r="D36">
        <v>7500</v>
      </c>
      <c r="E36">
        <v>52500</v>
      </c>
      <c r="F36" s="22">
        <v>44961</v>
      </c>
      <c r="G36" t="s">
        <v>314</v>
      </c>
      <c r="H36" t="s">
        <v>296</v>
      </c>
      <c r="I36" t="s">
        <v>294</v>
      </c>
    </row>
    <row r="37" spans="1:9" x14ac:dyDescent="0.3">
      <c r="A37">
        <v>1820</v>
      </c>
      <c r="B37" t="s">
        <v>271</v>
      </c>
      <c r="C37">
        <v>6</v>
      </c>
      <c r="D37">
        <v>11500</v>
      </c>
      <c r="E37">
        <v>69000</v>
      </c>
      <c r="F37" s="22">
        <v>44962</v>
      </c>
      <c r="G37" t="s">
        <v>289</v>
      </c>
      <c r="H37" t="s">
        <v>296</v>
      </c>
      <c r="I37" t="s">
        <v>299</v>
      </c>
    </row>
    <row r="38" spans="1:9" x14ac:dyDescent="0.3">
      <c r="A38">
        <v>1835</v>
      </c>
      <c r="B38" t="s">
        <v>253</v>
      </c>
      <c r="C38">
        <v>14</v>
      </c>
      <c r="D38">
        <v>7500</v>
      </c>
      <c r="E38">
        <v>105000</v>
      </c>
      <c r="F38" s="22">
        <v>44963</v>
      </c>
      <c r="G38" t="s">
        <v>289</v>
      </c>
      <c r="H38" t="s">
        <v>290</v>
      </c>
      <c r="I38" t="s">
        <v>299</v>
      </c>
    </row>
    <row r="39" spans="1:9" x14ac:dyDescent="0.3">
      <c r="A39">
        <v>1866</v>
      </c>
      <c r="B39" t="s">
        <v>266</v>
      </c>
      <c r="C39">
        <v>2</v>
      </c>
      <c r="D39">
        <v>650</v>
      </c>
      <c r="E39">
        <v>1300</v>
      </c>
      <c r="F39" s="22">
        <v>44964</v>
      </c>
      <c r="G39" t="s">
        <v>315</v>
      </c>
      <c r="H39" t="s">
        <v>290</v>
      </c>
      <c r="I39" t="s">
        <v>291</v>
      </c>
    </row>
    <row r="40" spans="1:9" x14ac:dyDescent="0.3">
      <c r="A40">
        <v>1900</v>
      </c>
      <c r="B40" t="s">
        <v>245</v>
      </c>
      <c r="C40">
        <v>4</v>
      </c>
      <c r="D40">
        <v>600</v>
      </c>
      <c r="E40">
        <v>2400</v>
      </c>
      <c r="F40" s="22">
        <v>44965</v>
      </c>
      <c r="G40" t="s">
        <v>313</v>
      </c>
      <c r="H40" t="s">
        <v>290</v>
      </c>
      <c r="I40" t="s">
        <v>299</v>
      </c>
    </row>
    <row r="41" spans="1:9" x14ac:dyDescent="0.3">
      <c r="A41">
        <v>1968</v>
      </c>
      <c r="B41" t="s">
        <v>272</v>
      </c>
      <c r="C41">
        <v>8</v>
      </c>
      <c r="D41">
        <v>7600</v>
      </c>
      <c r="E41">
        <v>60800</v>
      </c>
      <c r="F41" s="22">
        <v>44966</v>
      </c>
      <c r="G41" t="s">
        <v>304</v>
      </c>
      <c r="H41" t="s">
        <v>296</v>
      </c>
      <c r="I41" t="s">
        <v>291</v>
      </c>
    </row>
    <row r="42" spans="1:9" x14ac:dyDescent="0.3">
      <c r="A42">
        <v>1302</v>
      </c>
      <c r="B42" t="s">
        <v>279</v>
      </c>
      <c r="C42">
        <v>19</v>
      </c>
      <c r="D42">
        <v>600</v>
      </c>
      <c r="E42">
        <v>11400</v>
      </c>
      <c r="F42" s="22">
        <v>44967</v>
      </c>
      <c r="G42" t="s">
        <v>310</v>
      </c>
      <c r="H42" t="s">
        <v>290</v>
      </c>
      <c r="I42" t="s">
        <v>294</v>
      </c>
    </row>
    <row r="43" spans="1:9" x14ac:dyDescent="0.3">
      <c r="A43">
        <v>1246</v>
      </c>
      <c r="B43" t="s">
        <v>260</v>
      </c>
      <c r="C43">
        <v>1</v>
      </c>
      <c r="D43">
        <v>3500</v>
      </c>
      <c r="E43">
        <v>3500</v>
      </c>
      <c r="F43" s="22">
        <v>44968</v>
      </c>
      <c r="G43" t="s">
        <v>292</v>
      </c>
      <c r="H43" t="s">
        <v>296</v>
      </c>
      <c r="I43" t="s">
        <v>299</v>
      </c>
    </row>
    <row r="44" spans="1:9" x14ac:dyDescent="0.3">
      <c r="A44">
        <v>1788</v>
      </c>
      <c r="B44" t="s">
        <v>245</v>
      </c>
      <c r="C44">
        <v>19</v>
      </c>
      <c r="D44">
        <v>600</v>
      </c>
      <c r="E44">
        <v>11400</v>
      </c>
      <c r="F44" s="22">
        <v>44969</v>
      </c>
      <c r="G44" t="s">
        <v>311</v>
      </c>
      <c r="H44" t="s">
        <v>293</v>
      </c>
      <c r="I44" t="s">
        <v>299</v>
      </c>
    </row>
    <row r="45" spans="1:9" x14ac:dyDescent="0.3">
      <c r="A45">
        <v>1999</v>
      </c>
      <c r="B45" t="s">
        <v>263</v>
      </c>
      <c r="C45">
        <v>15</v>
      </c>
      <c r="D45">
        <v>500</v>
      </c>
      <c r="E45">
        <v>7500</v>
      </c>
      <c r="F45" s="22">
        <v>44970</v>
      </c>
      <c r="G45" t="s">
        <v>289</v>
      </c>
      <c r="H45" t="s">
        <v>290</v>
      </c>
      <c r="I45" t="s">
        <v>294</v>
      </c>
    </row>
    <row r="46" spans="1:9" x14ac:dyDescent="0.3">
      <c r="A46">
        <v>1889</v>
      </c>
      <c r="B46" t="s">
        <v>247</v>
      </c>
      <c r="C46">
        <v>4</v>
      </c>
      <c r="D46">
        <v>15000</v>
      </c>
      <c r="E46">
        <v>60000</v>
      </c>
      <c r="F46" s="22">
        <v>44971</v>
      </c>
      <c r="G46" t="s">
        <v>302</v>
      </c>
      <c r="H46" t="s">
        <v>293</v>
      </c>
      <c r="I46" t="s">
        <v>294</v>
      </c>
    </row>
    <row r="47" spans="1:9" x14ac:dyDescent="0.3">
      <c r="A47">
        <v>1525</v>
      </c>
      <c r="B47" t="s">
        <v>253</v>
      </c>
      <c r="C47">
        <v>4</v>
      </c>
      <c r="D47">
        <v>7500</v>
      </c>
      <c r="E47">
        <v>30000</v>
      </c>
      <c r="F47" s="22">
        <v>44972</v>
      </c>
      <c r="G47" t="s">
        <v>303</v>
      </c>
      <c r="H47" t="s">
        <v>296</v>
      </c>
      <c r="I47" t="s">
        <v>299</v>
      </c>
    </row>
    <row r="48" spans="1:9" x14ac:dyDescent="0.3">
      <c r="A48">
        <v>1302</v>
      </c>
      <c r="B48" t="s">
        <v>279</v>
      </c>
      <c r="C48">
        <v>5</v>
      </c>
      <c r="D48">
        <v>600</v>
      </c>
      <c r="E48">
        <v>3000</v>
      </c>
      <c r="F48" s="22">
        <v>44973</v>
      </c>
      <c r="G48" t="s">
        <v>304</v>
      </c>
      <c r="H48" t="s">
        <v>290</v>
      </c>
      <c r="I48" t="s">
        <v>299</v>
      </c>
    </row>
    <row r="49" spans="1:9" x14ac:dyDescent="0.3">
      <c r="A49">
        <v>1914</v>
      </c>
      <c r="B49" t="s">
        <v>276</v>
      </c>
      <c r="C49">
        <v>19</v>
      </c>
      <c r="D49">
        <v>1350</v>
      </c>
      <c r="E49">
        <v>25650</v>
      </c>
      <c r="F49" s="22">
        <v>44974</v>
      </c>
      <c r="G49" t="s">
        <v>316</v>
      </c>
      <c r="H49" t="s">
        <v>296</v>
      </c>
      <c r="I49" t="s">
        <v>294</v>
      </c>
    </row>
    <row r="50" spans="1:9" x14ac:dyDescent="0.3">
      <c r="A50">
        <v>1901</v>
      </c>
      <c r="B50" t="s">
        <v>276</v>
      </c>
      <c r="C50">
        <v>6</v>
      </c>
      <c r="D50">
        <v>1350</v>
      </c>
      <c r="E50">
        <v>8100</v>
      </c>
      <c r="F50" s="22">
        <v>44975</v>
      </c>
      <c r="G50" t="s">
        <v>316</v>
      </c>
      <c r="H50" t="s">
        <v>296</v>
      </c>
      <c r="I50" t="s">
        <v>291</v>
      </c>
    </row>
    <row r="51" spans="1:9" x14ac:dyDescent="0.3">
      <c r="A51">
        <v>1333</v>
      </c>
      <c r="B51" t="s">
        <v>268</v>
      </c>
      <c r="C51">
        <v>16</v>
      </c>
      <c r="D51">
        <v>1500</v>
      </c>
      <c r="E51">
        <v>24000</v>
      </c>
      <c r="F51" s="22">
        <v>44976</v>
      </c>
      <c r="G51" t="s">
        <v>317</v>
      </c>
      <c r="H51" t="s">
        <v>293</v>
      </c>
      <c r="I51" t="s">
        <v>294</v>
      </c>
    </row>
    <row r="52" spans="1:9" x14ac:dyDescent="0.3">
      <c r="A52">
        <v>1104</v>
      </c>
      <c r="B52" t="s">
        <v>257</v>
      </c>
      <c r="C52">
        <v>10</v>
      </c>
      <c r="D52">
        <v>250</v>
      </c>
      <c r="E52">
        <v>2500</v>
      </c>
      <c r="F52" s="22">
        <v>44977</v>
      </c>
      <c r="G52" t="s">
        <v>300</v>
      </c>
      <c r="H52" t="s">
        <v>296</v>
      </c>
      <c r="I52" t="s">
        <v>294</v>
      </c>
    </row>
    <row r="53" spans="1:9" x14ac:dyDescent="0.3">
      <c r="A53">
        <v>1803</v>
      </c>
      <c r="B53" t="s">
        <v>276</v>
      </c>
      <c r="C53">
        <v>19</v>
      </c>
      <c r="D53">
        <v>1350</v>
      </c>
      <c r="E53">
        <v>25650</v>
      </c>
      <c r="F53" s="22">
        <v>44978</v>
      </c>
      <c r="G53" t="s">
        <v>302</v>
      </c>
      <c r="H53" t="s">
        <v>296</v>
      </c>
      <c r="I53" t="s">
        <v>294</v>
      </c>
    </row>
    <row r="54" spans="1:9" x14ac:dyDescent="0.3">
      <c r="A54">
        <v>1539</v>
      </c>
      <c r="B54" t="s">
        <v>263</v>
      </c>
      <c r="C54">
        <v>14</v>
      </c>
      <c r="D54">
        <v>500</v>
      </c>
      <c r="E54">
        <v>7000</v>
      </c>
      <c r="F54" s="22">
        <v>44979</v>
      </c>
      <c r="G54" t="s">
        <v>297</v>
      </c>
      <c r="H54" t="s">
        <v>293</v>
      </c>
      <c r="I54" t="s">
        <v>299</v>
      </c>
    </row>
    <row r="55" spans="1:9" x14ac:dyDescent="0.3">
      <c r="A55">
        <v>1085</v>
      </c>
      <c r="B55" t="s">
        <v>268</v>
      </c>
      <c r="C55">
        <v>17</v>
      </c>
      <c r="D55">
        <v>1500</v>
      </c>
      <c r="E55">
        <v>25500</v>
      </c>
      <c r="F55" s="22">
        <v>44980</v>
      </c>
      <c r="G55" t="s">
        <v>318</v>
      </c>
      <c r="H55" t="s">
        <v>290</v>
      </c>
      <c r="I55" t="s">
        <v>294</v>
      </c>
    </row>
    <row r="56" spans="1:9" x14ac:dyDescent="0.3">
      <c r="A56">
        <v>1992</v>
      </c>
      <c r="B56" t="s">
        <v>257</v>
      </c>
      <c r="C56">
        <v>19</v>
      </c>
      <c r="D56">
        <v>250</v>
      </c>
      <c r="E56">
        <v>4750</v>
      </c>
      <c r="F56" s="22">
        <v>44981</v>
      </c>
      <c r="G56" t="s">
        <v>319</v>
      </c>
      <c r="H56" t="s">
        <v>293</v>
      </c>
      <c r="I56" t="s">
        <v>291</v>
      </c>
    </row>
    <row r="57" spans="1:9" x14ac:dyDescent="0.3">
      <c r="A57">
        <v>1009</v>
      </c>
      <c r="B57" t="s">
        <v>243</v>
      </c>
      <c r="C57">
        <v>4</v>
      </c>
      <c r="D57">
        <v>8000</v>
      </c>
      <c r="E57">
        <v>32000</v>
      </c>
      <c r="F57" s="22">
        <v>44982</v>
      </c>
      <c r="G57" t="s">
        <v>314</v>
      </c>
      <c r="H57" t="s">
        <v>290</v>
      </c>
      <c r="I57" t="s">
        <v>299</v>
      </c>
    </row>
    <row r="58" spans="1:9" x14ac:dyDescent="0.3">
      <c r="A58">
        <v>1509</v>
      </c>
      <c r="B58" t="s">
        <v>268</v>
      </c>
      <c r="C58">
        <v>8</v>
      </c>
      <c r="D58">
        <v>1500</v>
      </c>
      <c r="E58">
        <v>12000</v>
      </c>
      <c r="F58" s="22">
        <v>44983</v>
      </c>
      <c r="G58" t="s">
        <v>302</v>
      </c>
      <c r="H58" t="s">
        <v>290</v>
      </c>
      <c r="I58" t="s">
        <v>294</v>
      </c>
    </row>
    <row r="59" spans="1:9" x14ac:dyDescent="0.3">
      <c r="A59">
        <v>1162</v>
      </c>
      <c r="B59" t="s">
        <v>247</v>
      </c>
      <c r="C59">
        <v>2</v>
      </c>
      <c r="D59">
        <v>15000</v>
      </c>
      <c r="E59">
        <v>30000</v>
      </c>
      <c r="F59" s="22">
        <v>44984</v>
      </c>
      <c r="G59" t="s">
        <v>300</v>
      </c>
      <c r="H59" t="s">
        <v>296</v>
      </c>
      <c r="I59" t="s">
        <v>294</v>
      </c>
    </row>
    <row r="60" spans="1:9" x14ac:dyDescent="0.3">
      <c r="A60">
        <v>1482</v>
      </c>
      <c r="B60" t="s">
        <v>250</v>
      </c>
      <c r="C60">
        <v>3</v>
      </c>
      <c r="D60">
        <v>12000</v>
      </c>
      <c r="E60">
        <v>36000</v>
      </c>
      <c r="F60" s="22">
        <v>44985</v>
      </c>
      <c r="G60" t="s">
        <v>320</v>
      </c>
      <c r="H60" t="s">
        <v>290</v>
      </c>
      <c r="I60" t="s">
        <v>299</v>
      </c>
    </row>
    <row r="61" spans="1:9" x14ac:dyDescent="0.3">
      <c r="A61">
        <v>1289</v>
      </c>
      <c r="B61" t="s">
        <v>271</v>
      </c>
      <c r="C61">
        <v>11</v>
      </c>
      <c r="D61">
        <v>11500</v>
      </c>
      <c r="E61">
        <v>126500</v>
      </c>
      <c r="F61" s="22">
        <v>44986</v>
      </c>
      <c r="G61" t="s">
        <v>311</v>
      </c>
      <c r="H61" t="s">
        <v>293</v>
      </c>
      <c r="I61" t="s">
        <v>291</v>
      </c>
    </row>
    <row r="62" spans="1:9" x14ac:dyDescent="0.3">
      <c r="A62">
        <v>1602</v>
      </c>
      <c r="B62" t="s">
        <v>253</v>
      </c>
      <c r="C62">
        <v>7</v>
      </c>
      <c r="D62">
        <v>7500</v>
      </c>
      <c r="E62">
        <v>52500</v>
      </c>
      <c r="F62" s="22">
        <v>44987</v>
      </c>
      <c r="G62" t="s">
        <v>321</v>
      </c>
      <c r="H62" t="s">
        <v>296</v>
      </c>
      <c r="I62" t="s">
        <v>299</v>
      </c>
    </row>
    <row r="63" spans="1:9" x14ac:dyDescent="0.3">
      <c r="A63">
        <v>1434</v>
      </c>
      <c r="B63" t="s">
        <v>253</v>
      </c>
      <c r="C63">
        <v>15</v>
      </c>
      <c r="D63">
        <v>7500</v>
      </c>
      <c r="E63">
        <v>112500</v>
      </c>
      <c r="F63" s="22">
        <v>44988</v>
      </c>
      <c r="G63" t="s">
        <v>322</v>
      </c>
      <c r="H63" t="s">
        <v>293</v>
      </c>
      <c r="I63" t="s">
        <v>299</v>
      </c>
    </row>
    <row r="64" spans="1:9" x14ac:dyDescent="0.3">
      <c r="A64">
        <v>1338</v>
      </c>
      <c r="B64" t="s">
        <v>250</v>
      </c>
      <c r="C64">
        <v>14</v>
      </c>
      <c r="D64">
        <v>12000</v>
      </c>
      <c r="E64">
        <v>168000</v>
      </c>
      <c r="F64" s="22">
        <v>44989</v>
      </c>
      <c r="G64" t="s">
        <v>301</v>
      </c>
      <c r="H64" t="s">
        <v>293</v>
      </c>
      <c r="I64" t="s">
        <v>291</v>
      </c>
    </row>
    <row r="65" spans="1:9" x14ac:dyDescent="0.3">
      <c r="A65">
        <v>1696</v>
      </c>
      <c r="B65" t="s">
        <v>260</v>
      </c>
      <c r="C65">
        <v>11</v>
      </c>
      <c r="D65">
        <v>3500</v>
      </c>
      <c r="E65">
        <v>38500</v>
      </c>
      <c r="F65" s="22">
        <v>44990</v>
      </c>
      <c r="G65" t="s">
        <v>303</v>
      </c>
      <c r="H65" t="s">
        <v>293</v>
      </c>
      <c r="I65" t="s">
        <v>291</v>
      </c>
    </row>
    <row r="66" spans="1:9" x14ac:dyDescent="0.3">
      <c r="A66">
        <v>1262</v>
      </c>
      <c r="B66" t="s">
        <v>242</v>
      </c>
      <c r="C66">
        <v>13</v>
      </c>
      <c r="D66">
        <v>500</v>
      </c>
      <c r="E66">
        <v>6500</v>
      </c>
      <c r="F66" s="22">
        <v>44991</v>
      </c>
      <c r="G66" t="s">
        <v>316</v>
      </c>
      <c r="H66" t="s">
        <v>290</v>
      </c>
      <c r="I66" t="s">
        <v>294</v>
      </c>
    </row>
    <row r="67" spans="1:9" x14ac:dyDescent="0.3">
      <c r="A67">
        <v>1132</v>
      </c>
      <c r="B67" t="s">
        <v>250</v>
      </c>
      <c r="C67">
        <v>18</v>
      </c>
      <c r="D67">
        <v>12000</v>
      </c>
      <c r="E67">
        <v>216000</v>
      </c>
      <c r="F67" s="22">
        <v>44992</v>
      </c>
      <c r="G67" t="s">
        <v>292</v>
      </c>
      <c r="H67" t="s">
        <v>293</v>
      </c>
      <c r="I67" t="s">
        <v>291</v>
      </c>
    </row>
    <row r="68" spans="1:9" x14ac:dyDescent="0.3">
      <c r="A68">
        <v>1555</v>
      </c>
      <c r="B68" t="s">
        <v>274</v>
      </c>
      <c r="C68">
        <v>2</v>
      </c>
      <c r="D68">
        <v>5300</v>
      </c>
      <c r="E68">
        <v>10600</v>
      </c>
      <c r="F68" s="22">
        <v>44993</v>
      </c>
      <c r="G68" t="s">
        <v>307</v>
      </c>
      <c r="H68" t="s">
        <v>290</v>
      </c>
      <c r="I68" t="s">
        <v>294</v>
      </c>
    </row>
    <row r="69" spans="1:9" x14ac:dyDescent="0.3">
      <c r="A69">
        <v>1265</v>
      </c>
      <c r="B69" t="s">
        <v>257</v>
      </c>
      <c r="C69">
        <v>13</v>
      </c>
      <c r="D69">
        <v>250</v>
      </c>
      <c r="E69">
        <v>3250</v>
      </c>
      <c r="F69" s="22">
        <v>44994</v>
      </c>
      <c r="G69" t="s">
        <v>302</v>
      </c>
      <c r="H69" t="s">
        <v>296</v>
      </c>
      <c r="I69" t="s">
        <v>291</v>
      </c>
    </row>
    <row r="70" spans="1:9" x14ac:dyDescent="0.3">
      <c r="A70">
        <v>1551</v>
      </c>
      <c r="B70" t="s">
        <v>268</v>
      </c>
      <c r="C70">
        <v>13</v>
      </c>
      <c r="D70">
        <v>1500</v>
      </c>
      <c r="E70">
        <v>19500</v>
      </c>
      <c r="F70" s="22">
        <v>44995</v>
      </c>
      <c r="G70" t="s">
        <v>289</v>
      </c>
      <c r="H70" t="s">
        <v>290</v>
      </c>
      <c r="I70" t="s">
        <v>299</v>
      </c>
    </row>
    <row r="71" spans="1:9" x14ac:dyDescent="0.3">
      <c r="A71">
        <v>1458</v>
      </c>
      <c r="B71" t="s">
        <v>245</v>
      </c>
      <c r="C71">
        <v>3</v>
      </c>
      <c r="D71">
        <v>600</v>
      </c>
      <c r="E71">
        <v>1800</v>
      </c>
      <c r="F71" s="22">
        <v>44996</v>
      </c>
      <c r="G71" t="s">
        <v>310</v>
      </c>
      <c r="H71" t="s">
        <v>296</v>
      </c>
      <c r="I71" t="s">
        <v>299</v>
      </c>
    </row>
    <row r="72" spans="1:9" x14ac:dyDescent="0.3">
      <c r="A72">
        <v>1054</v>
      </c>
      <c r="B72" t="s">
        <v>266</v>
      </c>
      <c r="C72">
        <v>6</v>
      </c>
      <c r="D72">
        <v>650</v>
      </c>
      <c r="E72">
        <v>3900</v>
      </c>
      <c r="F72" s="22">
        <v>44997</v>
      </c>
      <c r="G72" t="s">
        <v>321</v>
      </c>
      <c r="H72" t="s">
        <v>290</v>
      </c>
      <c r="I72" t="s">
        <v>299</v>
      </c>
    </row>
    <row r="73" spans="1:9" x14ac:dyDescent="0.3">
      <c r="A73">
        <v>1510</v>
      </c>
      <c r="B73" t="s">
        <v>240</v>
      </c>
      <c r="C73">
        <v>10</v>
      </c>
      <c r="D73">
        <v>800</v>
      </c>
      <c r="E73">
        <v>8000</v>
      </c>
      <c r="F73" s="22">
        <v>44998</v>
      </c>
      <c r="G73" t="s">
        <v>319</v>
      </c>
      <c r="H73" t="s">
        <v>290</v>
      </c>
      <c r="I73" t="s">
        <v>291</v>
      </c>
    </row>
    <row r="74" spans="1:9" x14ac:dyDescent="0.3">
      <c r="A74">
        <v>1572</v>
      </c>
      <c r="B74" t="s">
        <v>274</v>
      </c>
      <c r="C74">
        <v>8</v>
      </c>
      <c r="D74">
        <v>5300</v>
      </c>
      <c r="E74">
        <v>42400</v>
      </c>
      <c r="F74" s="22">
        <v>44999</v>
      </c>
      <c r="G74" t="s">
        <v>322</v>
      </c>
      <c r="H74" t="s">
        <v>296</v>
      </c>
      <c r="I74" t="s">
        <v>299</v>
      </c>
    </row>
    <row r="75" spans="1:9" x14ac:dyDescent="0.3">
      <c r="A75">
        <v>1594</v>
      </c>
      <c r="B75" t="s">
        <v>268</v>
      </c>
      <c r="C75">
        <v>3</v>
      </c>
      <c r="D75">
        <v>1500</v>
      </c>
      <c r="E75">
        <v>4500</v>
      </c>
      <c r="F75" s="22">
        <v>45000</v>
      </c>
      <c r="G75" t="s">
        <v>301</v>
      </c>
      <c r="H75" t="s">
        <v>293</v>
      </c>
      <c r="I75" t="s">
        <v>299</v>
      </c>
    </row>
    <row r="76" spans="1:9" x14ac:dyDescent="0.3">
      <c r="A76">
        <v>1527</v>
      </c>
      <c r="B76" t="s">
        <v>247</v>
      </c>
      <c r="C76">
        <v>18</v>
      </c>
      <c r="D76">
        <v>15000</v>
      </c>
      <c r="E76">
        <v>270000</v>
      </c>
      <c r="F76" s="22">
        <v>45001</v>
      </c>
      <c r="G76" t="s">
        <v>311</v>
      </c>
      <c r="H76" t="s">
        <v>293</v>
      </c>
      <c r="I76" t="s">
        <v>291</v>
      </c>
    </row>
    <row r="77" spans="1:9" x14ac:dyDescent="0.3">
      <c r="A77">
        <v>1014</v>
      </c>
      <c r="B77" t="s">
        <v>242</v>
      </c>
      <c r="C77">
        <v>9</v>
      </c>
      <c r="D77">
        <v>500</v>
      </c>
      <c r="E77">
        <v>4500</v>
      </c>
      <c r="F77" s="22">
        <v>45002</v>
      </c>
      <c r="G77" t="s">
        <v>319</v>
      </c>
      <c r="H77" t="s">
        <v>293</v>
      </c>
      <c r="I77" t="s">
        <v>294</v>
      </c>
    </row>
    <row r="78" spans="1:9" x14ac:dyDescent="0.3">
      <c r="A78">
        <v>1562</v>
      </c>
      <c r="B78" t="s">
        <v>272</v>
      </c>
      <c r="C78">
        <v>15</v>
      </c>
      <c r="D78">
        <v>7600</v>
      </c>
      <c r="E78">
        <v>114000</v>
      </c>
      <c r="F78" s="22">
        <v>45003</v>
      </c>
      <c r="G78" t="s">
        <v>317</v>
      </c>
      <c r="H78" t="s">
        <v>293</v>
      </c>
      <c r="I78" t="s">
        <v>299</v>
      </c>
    </row>
    <row r="79" spans="1:9" x14ac:dyDescent="0.3">
      <c r="A79">
        <v>1310</v>
      </c>
      <c r="B79" t="s">
        <v>257</v>
      </c>
      <c r="C79">
        <v>10</v>
      </c>
      <c r="D79">
        <v>250</v>
      </c>
      <c r="E79">
        <v>2500</v>
      </c>
      <c r="F79" s="22">
        <v>45004</v>
      </c>
      <c r="G79" t="s">
        <v>313</v>
      </c>
      <c r="H79" t="s">
        <v>293</v>
      </c>
      <c r="I79" t="s">
        <v>291</v>
      </c>
    </row>
    <row r="80" spans="1:9" x14ac:dyDescent="0.3">
      <c r="A80">
        <v>1256</v>
      </c>
      <c r="B80" t="s">
        <v>260</v>
      </c>
      <c r="C80">
        <v>5</v>
      </c>
      <c r="D80">
        <v>3500</v>
      </c>
      <c r="E80">
        <v>17500</v>
      </c>
      <c r="F80" s="22">
        <v>45005</v>
      </c>
      <c r="G80" t="s">
        <v>313</v>
      </c>
      <c r="H80" t="s">
        <v>296</v>
      </c>
      <c r="I80" t="s">
        <v>291</v>
      </c>
    </row>
    <row r="81" spans="1:9" x14ac:dyDescent="0.3">
      <c r="A81">
        <v>1035</v>
      </c>
      <c r="B81" t="s">
        <v>281</v>
      </c>
      <c r="C81">
        <v>11</v>
      </c>
      <c r="D81">
        <v>300</v>
      </c>
      <c r="E81">
        <v>3300</v>
      </c>
      <c r="F81" s="22">
        <v>45006</v>
      </c>
      <c r="G81" t="s">
        <v>312</v>
      </c>
      <c r="H81" t="s">
        <v>293</v>
      </c>
      <c r="I81" t="s">
        <v>294</v>
      </c>
    </row>
    <row r="82" spans="1:9" x14ac:dyDescent="0.3">
      <c r="A82">
        <v>1188</v>
      </c>
      <c r="B82" t="s">
        <v>266</v>
      </c>
      <c r="C82">
        <v>8</v>
      </c>
      <c r="D82">
        <v>650</v>
      </c>
      <c r="E82">
        <v>5200</v>
      </c>
      <c r="F82" s="22">
        <v>45007</v>
      </c>
      <c r="G82" t="s">
        <v>313</v>
      </c>
      <c r="H82" t="s">
        <v>296</v>
      </c>
      <c r="I82" t="s">
        <v>291</v>
      </c>
    </row>
    <row r="83" spans="1:9" x14ac:dyDescent="0.3">
      <c r="A83">
        <v>1312</v>
      </c>
      <c r="B83" t="s">
        <v>255</v>
      </c>
      <c r="C83">
        <v>2</v>
      </c>
      <c r="D83">
        <v>9500</v>
      </c>
      <c r="E83">
        <v>19000</v>
      </c>
      <c r="F83" s="22">
        <v>45008</v>
      </c>
      <c r="G83" t="s">
        <v>321</v>
      </c>
      <c r="H83" t="s">
        <v>296</v>
      </c>
      <c r="I83" t="s">
        <v>299</v>
      </c>
    </row>
    <row r="84" spans="1:9" x14ac:dyDescent="0.3">
      <c r="A84">
        <v>1622</v>
      </c>
      <c r="B84" t="s">
        <v>257</v>
      </c>
      <c r="C84">
        <v>7</v>
      </c>
      <c r="D84">
        <v>250</v>
      </c>
      <c r="E84">
        <v>1750</v>
      </c>
      <c r="F84" s="22">
        <v>45009</v>
      </c>
      <c r="G84" t="s">
        <v>311</v>
      </c>
      <c r="H84" t="s">
        <v>290</v>
      </c>
      <c r="I84" t="s">
        <v>299</v>
      </c>
    </row>
    <row r="85" spans="1:9" x14ac:dyDescent="0.3">
      <c r="A85">
        <v>1027</v>
      </c>
      <c r="B85" t="s">
        <v>260</v>
      </c>
      <c r="C85">
        <v>19</v>
      </c>
      <c r="D85">
        <v>3500</v>
      </c>
      <c r="E85">
        <v>66500</v>
      </c>
      <c r="F85" s="22">
        <v>45010</v>
      </c>
      <c r="G85" t="s">
        <v>315</v>
      </c>
      <c r="H85" t="s">
        <v>293</v>
      </c>
      <c r="I85" t="s">
        <v>299</v>
      </c>
    </row>
    <row r="86" spans="1:9" x14ac:dyDescent="0.3">
      <c r="A86">
        <v>1711</v>
      </c>
      <c r="B86" t="s">
        <v>240</v>
      </c>
      <c r="C86">
        <v>5</v>
      </c>
      <c r="D86">
        <v>800</v>
      </c>
      <c r="E86">
        <v>4000</v>
      </c>
      <c r="F86" s="22">
        <v>45011</v>
      </c>
      <c r="G86" t="s">
        <v>298</v>
      </c>
      <c r="H86" t="s">
        <v>296</v>
      </c>
      <c r="I86" t="s">
        <v>294</v>
      </c>
    </row>
    <row r="87" spans="1:9" x14ac:dyDescent="0.3">
      <c r="A87">
        <v>1633</v>
      </c>
      <c r="B87" t="s">
        <v>271</v>
      </c>
      <c r="C87">
        <v>1</v>
      </c>
      <c r="D87">
        <v>11500</v>
      </c>
      <c r="E87">
        <v>11500</v>
      </c>
      <c r="F87" s="22">
        <v>45012</v>
      </c>
      <c r="G87" t="s">
        <v>307</v>
      </c>
      <c r="H87" t="s">
        <v>293</v>
      </c>
      <c r="I87" t="s">
        <v>299</v>
      </c>
    </row>
    <row r="88" spans="1:9" x14ac:dyDescent="0.3">
      <c r="A88">
        <v>1353</v>
      </c>
      <c r="B88" t="s">
        <v>257</v>
      </c>
      <c r="C88">
        <v>12</v>
      </c>
      <c r="D88">
        <v>250</v>
      </c>
      <c r="E88">
        <v>3000</v>
      </c>
      <c r="F88" s="22">
        <v>45013</v>
      </c>
      <c r="G88" t="s">
        <v>318</v>
      </c>
      <c r="H88" t="s">
        <v>296</v>
      </c>
      <c r="I88" t="s">
        <v>294</v>
      </c>
    </row>
    <row r="89" spans="1:9" x14ac:dyDescent="0.3">
      <c r="A89">
        <v>1807</v>
      </c>
      <c r="B89" t="s">
        <v>266</v>
      </c>
      <c r="C89">
        <v>4</v>
      </c>
      <c r="D89">
        <v>650</v>
      </c>
      <c r="E89">
        <v>2600</v>
      </c>
      <c r="F89" s="22">
        <v>45014</v>
      </c>
      <c r="G89" t="s">
        <v>303</v>
      </c>
      <c r="H89" t="s">
        <v>290</v>
      </c>
      <c r="I89" t="s">
        <v>291</v>
      </c>
    </row>
    <row r="90" spans="1:9" x14ac:dyDescent="0.3">
      <c r="A90">
        <v>1758</v>
      </c>
      <c r="B90" t="s">
        <v>272</v>
      </c>
      <c r="C90">
        <v>10</v>
      </c>
      <c r="D90">
        <v>7600</v>
      </c>
      <c r="E90">
        <v>76000</v>
      </c>
      <c r="F90" s="22">
        <v>45015</v>
      </c>
      <c r="G90" t="s">
        <v>304</v>
      </c>
      <c r="H90" t="s">
        <v>290</v>
      </c>
      <c r="I90" t="s">
        <v>291</v>
      </c>
    </row>
    <row r="91" spans="1:9" x14ac:dyDescent="0.3">
      <c r="A91">
        <v>1343</v>
      </c>
      <c r="B91" t="s">
        <v>240</v>
      </c>
      <c r="C91">
        <v>11</v>
      </c>
      <c r="D91">
        <v>800</v>
      </c>
      <c r="E91">
        <v>8800</v>
      </c>
      <c r="F91" s="22">
        <v>45016</v>
      </c>
      <c r="G91" t="s">
        <v>302</v>
      </c>
      <c r="H91" t="s">
        <v>296</v>
      </c>
      <c r="I91" t="s">
        <v>291</v>
      </c>
    </row>
    <row r="92" spans="1:9" x14ac:dyDescent="0.3">
      <c r="A92">
        <v>1245</v>
      </c>
      <c r="B92" t="s">
        <v>266</v>
      </c>
      <c r="C92">
        <v>18</v>
      </c>
      <c r="D92">
        <v>650</v>
      </c>
      <c r="E92">
        <v>11700</v>
      </c>
      <c r="F92" s="22">
        <v>45017</v>
      </c>
      <c r="G92" t="s">
        <v>320</v>
      </c>
      <c r="H92" t="s">
        <v>296</v>
      </c>
      <c r="I92" t="s">
        <v>299</v>
      </c>
    </row>
    <row r="93" spans="1:9" x14ac:dyDescent="0.3">
      <c r="A93">
        <v>1188</v>
      </c>
      <c r="B93" t="s">
        <v>271</v>
      </c>
      <c r="C93">
        <v>8</v>
      </c>
      <c r="D93">
        <v>11500</v>
      </c>
      <c r="E93">
        <v>92000</v>
      </c>
      <c r="F93" s="22">
        <v>45018</v>
      </c>
      <c r="G93" t="s">
        <v>307</v>
      </c>
      <c r="H93" t="s">
        <v>290</v>
      </c>
      <c r="I93" t="s">
        <v>299</v>
      </c>
    </row>
    <row r="94" spans="1:9" x14ac:dyDescent="0.3">
      <c r="A94">
        <v>1118</v>
      </c>
      <c r="B94" t="s">
        <v>253</v>
      </c>
      <c r="C94">
        <v>14</v>
      </c>
      <c r="D94">
        <v>7500</v>
      </c>
      <c r="E94">
        <v>105000</v>
      </c>
      <c r="F94" s="22">
        <v>45019</v>
      </c>
      <c r="G94" t="s">
        <v>305</v>
      </c>
      <c r="H94" t="s">
        <v>290</v>
      </c>
      <c r="I94" t="s">
        <v>294</v>
      </c>
    </row>
    <row r="95" spans="1:9" x14ac:dyDescent="0.3">
      <c r="A95">
        <v>1425</v>
      </c>
      <c r="B95" t="s">
        <v>253</v>
      </c>
      <c r="C95">
        <v>1</v>
      </c>
      <c r="D95">
        <v>7500</v>
      </c>
      <c r="E95">
        <v>7500</v>
      </c>
      <c r="F95" s="22">
        <v>45020</v>
      </c>
      <c r="G95" t="s">
        <v>317</v>
      </c>
      <c r="H95" t="s">
        <v>293</v>
      </c>
      <c r="I95" t="s">
        <v>291</v>
      </c>
    </row>
    <row r="96" spans="1:9" x14ac:dyDescent="0.3">
      <c r="A96">
        <v>1510</v>
      </c>
      <c r="B96" t="s">
        <v>263</v>
      </c>
      <c r="C96">
        <v>1</v>
      </c>
      <c r="D96">
        <v>500</v>
      </c>
      <c r="E96">
        <v>500</v>
      </c>
      <c r="F96" s="22">
        <v>45021</v>
      </c>
      <c r="G96" t="s">
        <v>298</v>
      </c>
      <c r="H96" t="s">
        <v>293</v>
      </c>
      <c r="I96" t="s">
        <v>291</v>
      </c>
    </row>
    <row r="97" spans="1:9" x14ac:dyDescent="0.3">
      <c r="A97">
        <v>1099</v>
      </c>
      <c r="B97" t="s">
        <v>242</v>
      </c>
      <c r="C97">
        <v>7</v>
      </c>
      <c r="D97">
        <v>500</v>
      </c>
      <c r="E97">
        <v>3500</v>
      </c>
      <c r="F97" s="22">
        <v>45022</v>
      </c>
      <c r="G97" t="s">
        <v>307</v>
      </c>
      <c r="H97" t="s">
        <v>293</v>
      </c>
      <c r="I97" t="s">
        <v>299</v>
      </c>
    </row>
    <row r="98" spans="1:9" x14ac:dyDescent="0.3">
      <c r="A98">
        <v>1016</v>
      </c>
      <c r="B98" t="s">
        <v>268</v>
      </c>
      <c r="C98">
        <v>6</v>
      </c>
      <c r="D98">
        <v>1500</v>
      </c>
      <c r="E98">
        <v>9000</v>
      </c>
      <c r="F98" s="22">
        <v>45023</v>
      </c>
      <c r="G98" t="s">
        <v>311</v>
      </c>
      <c r="H98" t="s">
        <v>293</v>
      </c>
      <c r="I98" t="s">
        <v>291</v>
      </c>
    </row>
    <row r="99" spans="1:9" x14ac:dyDescent="0.3">
      <c r="A99">
        <v>1141</v>
      </c>
      <c r="B99" t="s">
        <v>268</v>
      </c>
      <c r="C99">
        <v>2</v>
      </c>
      <c r="D99">
        <v>1500</v>
      </c>
      <c r="E99">
        <v>3000</v>
      </c>
      <c r="F99" s="22">
        <v>45024</v>
      </c>
      <c r="G99" t="s">
        <v>302</v>
      </c>
      <c r="H99" t="s">
        <v>290</v>
      </c>
      <c r="I99" t="s">
        <v>291</v>
      </c>
    </row>
    <row r="100" spans="1:9" x14ac:dyDescent="0.3">
      <c r="A100">
        <v>1287</v>
      </c>
      <c r="B100" t="s">
        <v>268</v>
      </c>
      <c r="C100">
        <v>8</v>
      </c>
      <c r="D100">
        <v>1500</v>
      </c>
      <c r="E100">
        <v>12000</v>
      </c>
      <c r="F100" s="22">
        <v>45025</v>
      </c>
      <c r="G100" t="s">
        <v>314</v>
      </c>
      <c r="H100" t="s">
        <v>296</v>
      </c>
      <c r="I100" t="s">
        <v>299</v>
      </c>
    </row>
    <row r="101" spans="1:9" x14ac:dyDescent="0.3">
      <c r="A101">
        <v>1377</v>
      </c>
      <c r="B101" t="s">
        <v>242</v>
      </c>
      <c r="C101">
        <v>9</v>
      </c>
      <c r="D101">
        <v>500</v>
      </c>
      <c r="E101">
        <v>4500</v>
      </c>
      <c r="F101" s="22">
        <v>45026</v>
      </c>
      <c r="G101" t="s">
        <v>297</v>
      </c>
      <c r="H101" t="s">
        <v>296</v>
      </c>
      <c r="I101" t="s">
        <v>291</v>
      </c>
    </row>
  </sheetData>
  <autoFilter ref="M102:M109" xr:uid="{ECD36D72-D2E1-4709-B42C-AEA891FDA2E0}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A6133-035D-44B3-AB99-3480F16CCD07}">
  <dimension ref="A1:Z1000"/>
  <sheetViews>
    <sheetView workbookViewId="0">
      <selection activeCell="B2" sqref="B2:C3"/>
    </sheetView>
  </sheetViews>
  <sheetFormatPr defaultRowHeight="14.4" x14ac:dyDescent="0.3"/>
  <sheetData>
    <row r="1" spans="1:26" x14ac:dyDescent="0.3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32.4" customHeight="1" x14ac:dyDescent="0.3">
      <c r="A2" s="23"/>
      <c r="B2" s="40" t="s">
        <v>323</v>
      </c>
      <c r="C2" s="40"/>
      <c r="D2" s="23"/>
      <c r="E2" s="40" t="s">
        <v>324</v>
      </c>
      <c r="F2" s="40"/>
      <c r="G2" s="40"/>
      <c r="H2" s="40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x14ac:dyDescent="0.3">
      <c r="A3" s="23"/>
      <c r="B3" s="40"/>
      <c r="C3" s="40"/>
      <c r="D3" s="23"/>
      <c r="E3" s="40"/>
      <c r="F3" s="40"/>
      <c r="G3" s="40"/>
      <c r="H3" s="40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 ht="29.4" thickBot="1" x14ac:dyDescent="0.35">
      <c r="A5" s="24"/>
      <c r="B5" s="25" t="s">
        <v>325</v>
      </c>
      <c r="C5" s="26" t="s">
        <v>3</v>
      </c>
      <c r="D5" s="23"/>
      <c r="E5" s="25" t="s">
        <v>0</v>
      </c>
      <c r="F5" s="25" t="s">
        <v>326</v>
      </c>
      <c r="G5" s="25" t="s">
        <v>327</v>
      </c>
      <c r="H5" s="25" t="s">
        <v>76</v>
      </c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 ht="29.4" thickBot="1" x14ac:dyDescent="0.35">
      <c r="A6" s="27"/>
      <c r="B6" s="28" t="s">
        <v>328</v>
      </c>
      <c r="C6" s="28" t="s">
        <v>22</v>
      </c>
      <c r="D6" s="23"/>
      <c r="E6" s="29" t="s">
        <v>329</v>
      </c>
      <c r="F6" s="28" t="s">
        <v>328</v>
      </c>
      <c r="G6" s="28" t="s">
        <v>330</v>
      </c>
      <c r="H6" s="30" t="s">
        <v>331</v>
      </c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 ht="29.4" thickBot="1" x14ac:dyDescent="0.35">
      <c r="A7" s="27"/>
      <c r="B7" s="31" t="s">
        <v>332</v>
      </c>
      <c r="C7" s="31" t="s">
        <v>17</v>
      </c>
      <c r="D7" s="23"/>
      <c r="E7" s="32" t="s">
        <v>333</v>
      </c>
      <c r="F7" s="31" t="s">
        <v>334</v>
      </c>
      <c r="G7" s="31" t="s">
        <v>158</v>
      </c>
      <c r="H7" s="33" t="s">
        <v>335</v>
      </c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 ht="29.4" thickBot="1" x14ac:dyDescent="0.35">
      <c r="A8" s="27"/>
      <c r="B8" s="28" t="s">
        <v>336</v>
      </c>
      <c r="C8" s="28" t="s">
        <v>13</v>
      </c>
      <c r="D8" s="23"/>
      <c r="E8" s="34">
        <v>41466</v>
      </c>
      <c r="F8" s="28" t="s">
        <v>337</v>
      </c>
      <c r="G8" s="28" t="s">
        <v>338</v>
      </c>
      <c r="H8" s="30" t="s">
        <v>339</v>
      </c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29.4" thickBot="1" x14ac:dyDescent="0.35">
      <c r="A9" s="27"/>
      <c r="B9" s="31" t="s">
        <v>340</v>
      </c>
      <c r="C9" s="31" t="s">
        <v>341</v>
      </c>
      <c r="D9" s="23"/>
      <c r="E9" s="35">
        <v>41676</v>
      </c>
      <c r="F9" s="31" t="s">
        <v>342</v>
      </c>
      <c r="G9" s="31" t="s">
        <v>343</v>
      </c>
      <c r="H9" s="33" t="s">
        <v>344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29.4" thickBot="1" x14ac:dyDescent="0.35">
      <c r="A10" s="27"/>
      <c r="B10" s="28" t="s">
        <v>345</v>
      </c>
      <c r="C10" s="28" t="s">
        <v>341</v>
      </c>
      <c r="D10" s="23"/>
      <c r="E10" s="34">
        <v>41282</v>
      </c>
      <c r="F10" s="28" t="s">
        <v>346</v>
      </c>
      <c r="G10" s="28" t="s">
        <v>347</v>
      </c>
      <c r="H10" s="30" t="s">
        <v>348</v>
      </c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43.8" thickBot="1" x14ac:dyDescent="0.35">
      <c r="A11" s="27"/>
      <c r="B11" s="31" t="s">
        <v>349</v>
      </c>
      <c r="C11" s="31" t="s">
        <v>341</v>
      </c>
      <c r="D11" s="23"/>
      <c r="E11" s="32" t="s">
        <v>350</v>
      </c>
      <c r="F11" s="31" t="s">
        <v>351</v>
      </c>
      <c r="G11" s="31" t="s">
        <v>352</v>
      </c>
      <c r="H11" s="33" t="s">
        <v>353</v>
      </c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29.4" thickBot="1" x14ac:dyDescent="0.35">
      <c r="A12" s="27"/>
      <c r="B12" s="28" t="s">
        <v>354</v>
      </c>
      <c r="C12" s="28" t="s">
        <v>341</v>
      </c>
      <c r="D12" s="23"/>
      <c r="E12" s="29" t="s">
        <v>355</v>
      </c>
      <c r="F12" s="28" t="s">
        <v>356</v>
      </c>
      <c r="G12" s="28" t="s">
        <v>330</v>
      </c>
      <c r="H12" s="30" t="s">
        <v>357</v>
      </c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29.4" thickBot="1" x14ac:dyDescent="0.35">
      <c r="A13" s="27"/>
      <c r="B13" s="31" t="s">
        <v>342</v>
      </c>
      <c r="C13" s="31" t="s">
        <v>13</v>
      </c>
      <c r="D13" s="23"/>
      <c r="E13" s="35">
        <v>41740</v>
      </c>
      <c r="F13" s="31" t="s">
        <v>358</v>
      </c>
      <c r="G13" s="31" t="s">
        <v>156</v>
      </c>
      <c r="H13" s="33" t="s">
        <v>359</v>
      </c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29.4" thickBot="1" x14ac:dyDescent="0.35">
      <c r="A14" s="27"/>
      <c r="B14" s="28" t="s">
        <v>360</v>
      </c>
      <c r="C14" s="28" t="s">
        <v>13</v>
      </c>
      <c r="D14" s="23"/>
      <c r="E14" s="29" t="s">
        <v>361</v>
      </c>
      <c r="F14" s="28" t="s">
        <v>362</v>
      </c>
      <c r="G14" s="28" t="s">
        <v>160</v>
      </c>
      <c r="H14" s="30" t="s">
        <v>363</v>
      </c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29.4" thickBot="1" x14ac:dyDescent="0.35">
      <c r="A15" s="27"/>
      <c r="B15" s="31" t="s">
        <v>364</v>
      </c>
      <c r="C15" s="31" t="s">
        <v>341</v>
      </c>
      <c r="D15" s="23"/>
      <c r="E15" s="35">
        <v>41858</v>
      </c>
      <c r="F15" s="31" t="s">
        <v>336</v>
      </c>
      <c r="G15" s="31" t="s">
        <v>158</v>
      </c>
      <c r="H15" s="33" t="s">
        <v>365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29.4" thickBot="1" x14ac:dyDescent="0.35">
      <c r="A16" s="27"/>
      <c r="B16" s="28" t="s">
        <v>366</v>
      </c>
      <c r="C16" s="28" t="s">
        <v>17</v>
      </c>
      <c r="D16" s="23"/>
      <c r="E16" s="34">
        <v>41802</v>
      </c>
      <c r="F16" s="28" t="s">
        <v>367</v>
      </c>
      <c r="G16" s="28" t="s">
        <v>161</v>
      </c>
      <c r="H16" s="30" t="s">
        <v>368</v>
      </c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29.4" thickBot="1" x14ac:dyDescent="0.35">
      <c r="A17" s="27"/>
      <c r="B17" s="31" t="s">
        <v>369</v>
      </c>
      <c r="C17" s="31" t="s">
        <v>17</v>
      </c>
      <c r="D17" s="23"/>
      <c r="E17" s="32" t="s">
        <v>370</v>
      </c>
      <c r="F17" s="31" t="s">
        <v>371</v>
      </c>
      <c r="G17" s="31" t="s">
        <v>158</v>
      </c>
      <c r="H17" s="33" t="s">
        <v>372</v>
      </c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29.4" thickBot="1" x14ac:dyDescent="0.35">
      <c r="A18" s="27"/>
      <c r="B18" s="28" t="s">
        <v>373</v>
      </c>
      <c r="C18" s="28" t="s">
        <v>17</v>
      </c>
      <c r="D18" s="23"/>
      <c r="E18" s="34">
        <v>41286</v>
      </c>
      <c r="F18" s="28" t="s">
        <v>374</v>
      </c>
      <c r="G18" s="28" t="s">
        <v>375</v>
      </c>
      <c r="H18" s="30" t="s">
        <v>376</v>
      </c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29.4" thickBot="1" x14ac:dyDescent="0.35">
      <c r="A19" s="27"/>
      <c r="B19" s="31" t="s">
        <v>377</v>
      </c>
      <c r="C19" s="31" t="s">
        <v>17</v>
      </c>
      <c r="D19" s="23"/>
      <c r="E19" s="35">
        <v>41954</v>
      </c>
      <c r="F19" s="31" t="s">
        <v>378</v>
      </c>
      <c r="G19" s="31" t="s">
        <v>343</v>
      </c>
      <c r="H19" s="33" t="s">
        <v>379</v>
      </c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 ht="29.4" thickBot="1" x14ac:dyDescent="0.35">
      <c r="A20" s="27"/>
      <c r="B20" s="28" t="s">
        <v>380</v>
      </c>
      <c r="C20" s="28" t="s">
        <v>17</v>
      </c>
      <c r="D20" s="23"/>
      <c r="E20" s="29" t="s">
        <v>381</v>
      </c>
      <c r="F20" s="28" t="s">
        <v>382</v>
      </c>
      <c r="G20" s="28" t="s">
        <v>383</v>
      </c>
      <c r="H20" s="30" t="s">
        <v>384</v>
      </c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29.4" thickBot="1" x14ac:dyDescent="0.35">
      <c r="A21" s="27"/>
      <c r="B21" s="31" t="s">
        <v>385</v>
      </c>
      <c r="C21" s="31" t="s">
        <v>17</v>
      </c>
      <c r="D21" s="23"/>
      <c r="E21" s="35">
        <v>41276</v>
      </c>
      <c r="F21" s="31" t="s">
        <v>386</v>
      </c>
      <c r="G21" s="31" t="s">
        <v>387</v>
      </c>
      <c r="H21" s="33" t="s">
        <v>388</v>
      </c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 ht="29.4" thickBot="1" x14ac:dyDescent="0.35">
      <c r="A22" s="27"/>
      <c r="B22" s="28" t="s">
        <v>389</v>
      </c>
      <c r="C22" s="28" t="s">
        <v>17</v>
      </c>
      <c r="D22" s="23"/>
      <c r="E22" s="34">
        <v>41548</v>
      </c>
      <c r="F22" s="28" t="s">
        <v>390</v>
      </c>
      <c r="G22" s="28" t="s">
        <v>347</v>
      </c>
      <c r="H22" s="30" t="s">
        <v>391</v>
      </c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ht="43.8" thickBot="1" x14ac:dyDescent="0.35">
      <c r="A23" s="27"/>
      <c r="B23" s="31" t="s">
        <v>392</v>
      </c>
      <c r="C23" s="31" t="s">
        <v>341</v>
      </c>
      <c r="D23" s="23"/>
      <c r="E23" s="32" t="s">
        <v>393</v>
      </c>
      <c r="F23" s="31" t="s">
        <v>392</v>
      </c>
      <c r="G23" s="31" t="s">
        <v>158</v>
      </c>
      <c r="H23" s="33" t="s">
        <v>394</v>
      </c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 ht="43.8" thickBot="1" x14ac:dyDescent="0.35">
      <c r="A24" s="27"/>
      <c r="B24" s="28" t="s">
        <v>395</v>
      </c>
      <c r="C24" s="28" t="s">
        <v>17</v>
      </c>
      <c r="D24" s="23"/>
      <c r="E24" s="34">
        <v>41620</v>
      </c>
      <c r="F24" s="28" t="s">
        <v>396</v>
      </c>
      <c r="G24" s="28" t="s">
        <v>397</v>
      </c>
      <c r="H24" s="30" t="s">
        <v>384</v>
      </c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ht="43.8" thickBot="1" x14ac:dyDescent="0.35">
      <c r="A25" s="27"/>
      <c r="B25" s="31" t="s">
        <v>398</v>
      </c>
      <c r="C25" s="31" t="s">
        <v>22</v>
      </c>
      <c r="D25" s="23"/>
      <c r="E25" s="32" t="s">
        <v>399</v>
      </c>
      <c r="F25" s="31" t="s">
        <v>349</v>
      </c>
      <c r="G25" s="31" t="s">
        <v>158</v>
      </c>
      <c r="H25" s="33" t="s">
        <v>400</v>
      </c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29.4" thickBot="1" x14ac:dyDescent="0.35">
      <c r="A26" s="27"/>
      <c r="B26" s="28" t="s">
        <v>401</v>
      </c>
      <c r="C26" s="28" t="s">
        <v>17</v>
      </c>
      <c r="D26" s="23"/>
      <c r="E26" s="34">
        <v>41919</v>
      </c>
      <c r="F26" s="28" t="s">
        <v>354</v>
      </c>
      <c r="G26" s="28" t="s">
        <v>402</v>
      </c>
      <c r="H26" s="30" t="s">
        <v>403</v>
      </c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29.4" thickBot="1" x14ac:dyDescent="0.35">
      <c r="A27" s="27"/>
      <c r="B27" s="31" t="s">
        <v>404</v>
      </c>
      <c r="C27" s="31" t="s">
        <v>341</v>
      </c>
      <c r="D27" s="23"/>
      <c r="E27" s="32" t="s">
        <v>405</v>
      </c>
      <c r="F27" s="31" t="s">
        <v>406</v>
      </c>
      <c r="G27" s="31" t="s">
        <v>407</v>
      </c>
      <c r="H27" s="33" t="s">
        <v>408</v>
      </c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29.4" thickBot="1" x14ac:dyDescent="0.35">
      <c r="A28" s="27"/>
      <c r="B28" s="28" t="s">
        <v>378</v>
      </c>
      <c r="C28" s="28" t="s">
        <v>341</v>
      </c>
      <c r="D28" s="23"/>
      <c r="E28" s="29" t="s">
        <v>409</v>
      </c>
      <c r="F28" s="28" t="s">
        <v>340</v>
      </c>
      <c r="G28" s="28" t="s">
        <v>410</v>
      </c>
      <c r="H28" s="30" t="s">
        <v>411</v>
      </c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ht="29.4" thickBot="1" x14ac:dyDescent="0.35">
      <c r="A29" s="27"/>
      <c r="B29" s="31" t="s">
        <v>412</v>
      </c>
      <c r="C29" s="31" t="s">
        <v>17</v>
      </c>
      <c r="D29" s="23"/>
      <c r="E29" s="35">
        <v>41285</v>
      </c>
      <c r="F29" s="31" t="s">
        <v>413</v>
      </c>
      <c r="G29" s="31" t="s">
        <v>414</v>
      </c>
      <c r="H29" s="33" t="s">
        <v>415</v>
      </c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 ht="29.4" thickBot="1" x14ac:dyDescent="0.35">
      <c r="A30" s="27"/>
      <c r="B30" s="28" t="s">
        <v>416</v>
      </c>
      <c r="C30" s="28" t="s">
        <v>341</v>
      </c>
      <c r="D30" s="23"/>
      <c r="E30" s="29" t="s">
        <v>417</v>
      </c>
      <c r="F30" s="28" t="s">
        <v>418</v>
      </c>
      <c r="G30" s="28" t="s">
        <v>419</v>
      </c>
      <c r="H30" s="30" t="s">
        <v>420</v>
      </c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ht="43.8" thickBot="1" x14ac:dyDescent="0.35">
      <c r="A31" s="27"/>
      <c r="B31" s="31" t="s">
        <v>421</v>
      </c>
      <c r="C31" s="31" t="s">
        <v>17</v>
      </c>
      <c r="D31" s="23"/>
      <c r="E31" s="32" t="s">
        <v>422</v>
      </c>
      <c r="F31" s="31" t="s">
        <v>423</v>
      </c>
      <c r="G31" s="31" t="s">
        <v>424</v>
      </c>
      <c r="H31" s="33" t="s">
        <v>425</v>
      </c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ht="43.8" thickBot="1" x14ac:dyDescent="0.35">
      <c r="A32" s="27"/>
      <c r="B32" s="28" t="s">
        <v>426</v>
      </c>
      <c r="C32" s="28" t="s">
        <v>17</v>
      </c>
      <c r="D32" s="23"/>
      <c r="E32" s="29" t="s">
        <v>427</v>
      </c>
      <c r="F32" s="28" t="s">
        <v>428</v>
      </c>
      <c r="G32" s="28" t="s">
        <v>429</v>
      </c>
      <c r="H32" s="30" t="s">
        <v>430</v>
      </c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ht="29.4" thickBot="1" x14ac:dyDescent="0.35">
      <c r="A33" s="27"/>
      <c r="B33" s="31" t="s">
        <v>367</v>
      </c>
      <c r="C33" s="31" t="s">
        <v>13</v>
      </c>
      <c r="D33" s="23"/>
      <c r="E33" s="32" t="s">
        <v>431</v>
      </c>
      <c r="F33" s="31" t="s">
        <v>432</v>
      </c>
      <c r="G33" s="31" t="s">
        <v>433</v>
      </c>
      <c r="H33" s="33" t="s">
        <v>434</v>
      </c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 ht="29.4" thickBot="1" x14ac:dyDescent="0.35">
      <c r="A34" s="27"/>
      <c r="B34" s="28" t="s">
        <v>435</v>
      </c>
      <c r="C34" s="28" t="s">
        <v>17</v>
      </c>
      <c r="D34" s="23"/>
      <c r="E34" s="29" t="s">
        <v>436</v>
      </c>
      <c r="F34" s="28" t="s">
        <v>404</v>
      </c>
      <c r="G34" s="28" t="s">
        <v>410</v>
      </c>
      <c r="H34" s="30" t="s">
        <v>437</v>
      </c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29.4" thickBot="1" x14ac:dyDescent="0.35">
      <c r="A35" s="27"/>
      <c r="B35" s="31" t="s">
        <v>438</v>
      </c>
      <c r="C35" s="31" t="s">
        <v>17</v>
      </c>
      <c r="D35" s="23"/>
      <c r="E35" s="32" t="s">
        <v>439</v>
      </c>
      <c r="F35" s="31" t="s">
        <v>440</v>
      </c>
      <c r="G35" s="31" t="s">
        <v>441</v>
      </c>
      <c r="H35" s="33" t="s">
        <v>388</v>
      </c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ht="29.4" thickBot="1" x14ac:dyDescent="0.35">
      <c r="A36" s="27"/>
      <c r="B36" s="28" t="s">
        <v>386</v>
      </c>
      <c r="C36" s="28" t="s">
        <v>341</v>
      </c>
      <c r="D36" s="23"/>
      <c r="E36" s="34">
        <v>41893</v>
      </c>
      <c r="F36" s="28" t="s">
        <v>442</v>
      </c>
      <c r="G36" s="28" t="s">
        <v>338</v>
      </c>
      <c r="H36" s="30" t="s">
        <v>443</v>
      </c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 ht="29.4" thickBot="1" x14ac:dyDescent="0.35">
      <c r="A37" s="27"/>
      <c r="B37" s="31" t="s">
        <v>444</v>
      </c>
      <c r="C37" s="31" t="s">
        <v>341</v>
      </c>
      <c r="D37" s="23"/>
      <c r="E37" s="32" t="s">
        <v>445</v>
      </c>
      <c r="F37" s="31" t="s">
        <v>446</v>
      </c>
      <c r="G37" s="31" t="s">
        <v>447</v>
      </c>
      <c r="H37" s="33" t="s">
        <v>448</v>
      </c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 ht="29.4" thickBot="1" x14ac:dyDescent="0.35">
      <c r="A38" s="27"/>
      <c r="B38" s="28" t="s">
        <v>449</v>
      </c>
      <c r="C38" s="28" t="s">
        <v>22</v>
      </c>
      <c r="D38" s="23"/>
      <c r="E38" s="34">
        <v>41406</v>
      </c>
      <c r="F38" s="28" t="s">
        <v>364</v>
      </c>
      <c r="G38" s="28" t="s">
        <v>450</v>
      </c>
      <c r="H38" s="30" t="s">
        <v>451</v>
      </c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 ht="29.4" thickBot="1" x14ac:dyDescent="0.35">
      <c r="A39" s="27"/>
      <c r="B39" s="31" t="s">
        <v>390</v>
      </c>
      <c r="C39" s="31" t="s">
        <v>341</v>
      </c>
      <c r="D39" s="23"/>
      <c r="E39" s="32" t="s">
        <v>452</v>
      </c>
      <c r="F39" s="31" t="s">
        <v>444</v>
      </c>
      <c r="G39" s="31" t="s">
        <v>343</v>
      </c>
      <c r="H39" s="33" t="s">
        <v>453</v>
      </c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 ht="29.4" thickBot="1" x14ac:dyDescent="0.35">
      <c r="A40" s="27"/>
      <c r="B40" s="28" t="s">
        <v>454</v>
      </c>
      <c r="C40" s="28" t="s">
        <v>22</v>
      </c>
      <c r="D40" s="23"/>
      <c r="E40" s="29" t="s">
        <v>455</v>
      </c>
      <c r="F40" s="28" t="s">
        <v>416</v>
      </c>
      <c r="G40" s="28" t="s">
        <v>410</v>
      </c>
      <c r="H40" s="30" t="s">
        <v>448</v>
      </c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 ht="43.8" thickBot="1" x14ac:dyDescent="0.35">
      <c r="A41" s="27"/>
      <c r="B41" s="31" t="s">
        <v>456</v>
      </c>
      <c r="C41" s="31" t="s">
        <v>22</v>
      </c>
      <c r="D41" s="23"/>
      <c r="E41" s="32" t="s">
        <v>457</v>
      </c>
      <c r="F41" s="31" t="s">
        <v>458</v>
      </c>
      <c r="G41" s="31" t="s">
        <v>459</v>
      </c>
      <c r="H41" s="33" t="s">
        <v>460</v>
      </c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 ht="43.8" thickBot="1" x14ac:dyDescent="0.35">
      <c r="A42" s="27"/>
      <c r="B42" s="28" t="s">
        <v>461</v>
      </c>
      <c r="C42" s="28" t="s">
        <v>22</v>
      </c>
      <c r="D42" s="23"/>
      <c r="E42" s="29" t="s">
        <v>462</v>
      </c>
      <c r="F42" s="28" t="s">
        <v>345</v>
      </c>
      <c r="G42" s="28" t="s">
        <v>159</v>
      </c>
      <c r="H42" s="30" t="s">
        <v>463</v>
      </c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ht="29.4" thickBot="1" x14ac:dyDescent="0.35">
      <c r="A43" s="27"/>
      <c r="B43" s="31" t="s">
        <v>464</v>
      </c>
      <c r="C43" s="31" t="s">
        <v>22</v>
      </c>
      <c r="D43" s="23"/>
      <c r="E43" s="32" t="s">
        <v>465</v>
      </c>
      <c r="F43" s="31" t="s">
        <v>398</v>
      </c>
      <c r="G43" s="31" t="s">
        <v>466</v>
      </c>
      <c r="H43" s="33" t="s">
        <v>467</v>
      </c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 ht="43.8" thickBot="1" x14ac:dyDescent="0.35">
      <c r="A44" s="27"/>
      <c r="B44" s="28" t="s">
        <v>446</v>
      </c>
      <c r="C44" s="28" t="s">
        <v>341</v>
      </c>
      <c r="D44" s="23"/>
      <c r="E44" s="29" t="s">
        <v>468</v>
      </c>
      <c r="F44" s="28" t="s">
        <v>469</v>
      </c>
      <c r="G44" s="28" t="s">
        <v>419</v>
      </c>
      <c r="H44" s="30" t="s">
        <v>470</v>
      </c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 ht="29.4" thickBot="1" x14ac:dyDescent="0.35">
      <c r="A45" s="27"/>
      <c r="B45" s="31" t="s">
        <v>371</v>
      </c>
      <c r="C45" s="31" t="s">
        <v>13</v>
      </c>
      <c r="D45" s="23"/>
      <c r="E45" s="32" t="s">
        <v>471</v>
      </c>
      <c r="F45" s="31" t="s">
        <v>472</v>
      </c>
      <c r="G45" s="31" t="s">
        <v>158</v>
      </c>
      <c r="H45" s="33" t="s">
        <v>473</v>
      </c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 ht="29.4" thickBot="1" x14ac:dyDescent="0.35">
      <c r="A46" s="27"/>
      <c r="B46" s="28" t="s">
        <v>474</v>
      </c>
      <c r="C46" s="28" t="s">
        <v>17</v>
      </c>
      <c r="D46" s="23"/>
      <c r="E46" s="34">
        <v>41589</v>
      </c>
      <c r="F46" s="28" t="s">
        <v>464</v>
      </c>
      <c r="G46" s="28" t="s">
        <v>441</v>
      </c>
      <c r="H46" s="30" t="s">
        <v>470</v>
      </c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 ht="29.4" thickBot="1" x14ac:dyDescent="0.35">
      <c r="A47" s="27"/>
      <c r="B47" s="31" t="s">
        <v>475</v>
      </c>
      <c r="C47" s="31" t="s">
        <v>17</v>
      </c>
      <c r="D47" s="23"/>
      <c r="E47" s="32" t="s">
        <v>476</v>
      </c>
      <c r="F47" s="31" t="s">
        <v>449</v>
      </c>
      <c r="G47" s="31" t="s">
        <v>477</v>
      </c>
      <c r="H47" s="33" t="s">
        <v>478</v>
      </c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 ht="43.8" thickBot="1" x14ac:dyDescent="0.35">
      <c r="A48" s="27"/>
      <c r="B48" s="28" t="s">
        <v>479</v>
      </c>
      <c r="C48" s="28" t="s">
        <v>17</v>
      </c>
      <c r="D48" s="23"/>
      <c r="E48" s="34">
        <v>41406</v>
      </c>
      <c r="F48" s="28" t="s">
        <v>454</v>
      </c>
      <c r="G48" s="28" t="s">
        <v>480</v>
      </c>
      <c r="H48" s="30" t="s">
        <v>481</v>
      </c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 ht="29.4" thickBot="1" x14ac:dyDescent="0.35">
      <c r="A49" s="27"/>
      <c r="B49" s="31" t="s">
        <v>413</v>
      </c>
      <c r="C49" s="31" t="s">
        <v>341</v>
      </c>
      <c r="D49" s="23"/>
      <c r="E49" s="35">
        <v>41437</v>
      </c>
      <c r="F49" s="31" t="s">
        <v>482</v>
      </c>
      <c r="G49" s="31" t="s">
        <v>343</v>
      </c>
      <c r="H49" s="33" t="s">
        <v>483</v>
      </c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 ht="43.8" thickBot="1" x14ac:dyDescent="0.35">
      <c r="A50" s="27"/>
      <c r="B50" s="28" t="s">
        <v>482</v>
      </c>
      <c r="C50" s="28" t="s">
        <v>22</v>
      </c>
      <c r="D50" s="23"/>
      <c r="E50" s="29" t="s">
        <v>484</v>
      </c>
      <c r="F50" s="28" t="s">
        <v>485</v>
      </c>
      <c r="G50" s="28" t="s">
        <v>414</v>
      </c>
      <c r="H50" s="30" t="s">
        <v>481</v>
      </c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 ht="29.4" thickBot="1" x14ac:dyDescent="0.35">
      <c r="A51" s="27"/>
      <c r="B51" s="31" t="s">
        <v>334</v>
      </c>
      <c r="C51" s="31" t="s">
        <v>13</v>
      </c>
      <c r="D51" s="23"/>
      <c r="E51" s="35">
        <v>41286</v>
      </c>
      <c r="F51" s="31" t="s">
        <v>486</v>
      </c>
      <c r="G51" s="31" t="s">
        <v>156</v>
      </c>
      <c r="H51" s="33" t="s">
        <v>487</v>
      </c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 ht="29.4" thickBot="1" x14ac:dyDescent="0.35">
      <c r="A52" s="27"/>
      <c r="B52" s="28" t="s">
        <v>351</v>
      </c>
      <c r="C52" s="28" t="s">
        <v>13</v>
      </c>
      <c r="D52" s="23"/>
      <c r="E52" s="29" t="s">
        <v>436</v>
      </c>
      <c r="F52" s="28" t="s">
        <v>456</v>
      </c>
      <c r="G52" s="28" t="s">
        <v>450</v>
      </c>
      <c r="H52" s="30" t="s">
        <v>488</v>
      </c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 ht="43.8" thickBot="1" x14ac:dyDescent="0.35">
      <c r="A53" s="27"/>
      <c r="B53" s="31" t="s">
        <v>489</v>
      </c>
      <c r="C53" s="31" t="s">
        <v>17</v>
      </c>
      <c r="D53" s="23"/>
      <c r="E53" s="32" t="s">
        <v>490</v>
      </c>
      <c r="F53" s="31" t="s">
        <v>461</v>
      </c>
      <c r="G53" s="31" t="s">
        <v>343</v>
      </c>
      <c r="H53" s="33" t="s">
        <v>365</v>
      </c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 ht="43.8" thickBot="1" x14ac:dyDescent="0.35">
      <c r="A54" s="27"/>
      <c r="B54" s="28" t="s">
        <v>458</v>
      </c>
      <c r="C54" s="28" t="s">
        <v>341</v>
      </c>
      <c r="D54" s="23"/>
      <c r="E54" s="29" t="s">
        <v>491</v>
      </c>
      <c r="F54" s="28" t="s">
        <v>492</v>
      </c>
      <c r="G54" s="28" t="s">
        <v>343</v>
      </c>
      <c r="H54" s="30" t="s">
        <v>493</v>
      </c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 ht="29.4" thickBot="1" x14ac:dyDescent="0.35">
      <c r="A55" s="27"/>
      <c r="B55" s="31" t="s">
        <v>346</v>
      </c>
      <c r="C55" s="31" t="s">
        <v>13</v>
      </c>
      <c r="D55" s="23"/>
      <c r="E55" s="35">
        <v>41336</v>
      </c>
      <c r="F55" s="31" t="s">
        <v>377</v>
      </c>
      <c r="G55" s="31" t="s">
        <v>410</v>
      </c>
      <c r="H55" s="33" t="s">
        <v>437</v>
      </c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 ht="43.8" thickBot="1" x14ac:dyDescent="0.35">
      <c r="A56" s="27"/>
      <c r="B56" s="28" t="s">
        <v>494</v>
      </c>
      <c r="C56" s="28" t="s">
        <v>17</v>
      </c>
      <c r="D56" s="23"/>
      <c r="E56" s="34">
        <v>41345</v>
      </c>
      <c r="F56" s="28" t="s">
        <v>421</v>
      </c>
      <c r="G56" s="28" t="s">
        <v>158</v>
      </c>
      <c r="H56" s="30" t="s">
        <v>495</v>
      </c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 ht="29.4" thickBot="1" x14ac:dyDescent="0.35">
      <c r="A57" s="27"/>
      <c r="B57" s="31" t="s">
        <v>382</v>
      </c>
      <c r="C57" s="31" t="s">
        <v>341</v>
      </c>
      <c r="D57" s="23"/>
      <c r="E57" s="35">
        <v>41316</v>
      </c>
      <c r="F57" s="31" t="s">
        <v>489</v>
      </c>
      <c r="G57" s="31" t="s">
        <v>383</v>
      </c>
      <c r="H57" s="33" t="s">
        <v>496</v>
      </c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 ht="43.8" thickBot="1" x14ac:dyDescent="0.35">
      <c r="A58" s="27"/>
      <c r="B58" s="28" t="s">
        <v>485</v>
      </c>
      <c r="C58" s="28" t="s">
        <v>22</v>
      </c>
      <c r="D58" s="23"/>
      <c r="E58" s="34">
        <v>41893</v>
      </c>
      <c r="F58" s="28" t="s">
        <v>438</v>
      </c>
      <c r="G58" s="28" t="s">
        <v>156</v>
      </c>
      <c r="H58" s="30" t="s">
        <v>497</v>
      </c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 ht="29.4" thickBot="1" x14ac:dyDescent="0.35">
      <c r="A59" s="27"/>
      <c r="B59" s="31" t="s">
        <v>472</v>
      </c>
      <c r="C59" s="31" t="s">
        <v>22</v>
      </c>
      <c r="D59" s="23"/>
      <c r="E59" s="32" t="s">
        <v>498</v>
      </c>
      <c r="F59" s="31" t="s">
        <v>373</v>
      </c>
      <c r="G59" s="31" t="s">
        <v>499</v>
      </c>
      <c r="H59" s="33" t="s">
        <v>500</v>
      </c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 ht="29.4" thickBot="1" x14ac:dyDescent="0.35">
      <c r="A60" s="27"/>
      <c r="B60" s="28" t="s">
        <v>440</v>
      </c>
      <c r="C60" s="28" t="s">
        <v>341</v>
      </c>
      <c r="D60" s="23"/>
      <c r="E60" s="34">
        <v>41528</v>
      </c>
      <c r="F60" s="28" t="s">
        <v>385</v>
      </c>
      <c r="G60" s="28" t="s">
        <v>441</v>
      </c>
      <c r="H60" s="30" t="s">
        <v>501</v>
      </c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 ht="29.4" thickBot="1" x14ac:dyDescent="0.35">
      <c r="A61" s="27"/>
      <c r="B61" s="31" t="s">
        <v>374</v>
      </c>
      <c r="C61" s="31" t="s">
        <v>341</v>
      </c>
      <c r="D61" s="23"/>
      <c r="E61" s="35">
        <v>41528</v>
      </c>
      <c r="F61" s="31" t="s">
        <v>474</v>
      </c>
      <c r="G61" s="31" t="s">
        <v>502</v>
      </c>
      <c r="H61" s="33" t="s">
        <v>503</v>
      </c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 ht="29.4" thickBot="1" x14ac:dyDescent="0.35">
      <c r="A62" s="27"/>
      <c r="B62" s="28" t="s">
        <v>362</v>
      </c>
      <c r="C62" s="28" t="s">
        <v>13</v>
      </c>
      <c r="D62" s="23"/>
      <c r="E62" s="34">
        <v>41406</v>
      </c>
      <c r="F62" s="28" t="s">
        <v>332</v>
      </c>
      <c r="G62" s="28" t="s">
        <v>157</v>
      </c>
      <c r="H62" s="30" t="s">
        <v>448</v>
      </c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 ht="29.4" thickBot="1" x14ac:dyDescent="0.35">
      <c r="A63" s="27"/>
      <c r="B63" s="31" t="s">
        <v>442</v>
      </c>
      <c r="C63" s="31" t="s">
        <v>341</v>
      </c>
      <c r="D63" s="23"/>
      <c r="E63" s="32" t="s">
        <v>504</v>
      </c>
      <c r="F63" s="31" t="s">
        <v>380</v>
      </c>
      <c r="G63" s="31" t="s">
        <v>343</v>
      </c>
      <c r="H63" s="33" t="s">
        <v>437</v>
      </c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 ht="29.4" thickBot="1" x14ac:dyDescent="0.35">
      <c r="A64" s="27"/>
      <c r="B64" s="28" t="s">
        <v>358</v>
      </c>
      <c r="C64" s="28" t="s">
        <v>13</v>
      </c>
      <c r="D64" s="23"/>
      <c r="E64" s="29" t="s">
        <v>505</v>
      </c>
      <c r="F64" s="28" t="s">
        <v>369</v>
      </c>
      <c r="G64" s="28" t="s">
        <v>347</v>
      </c>
      <c r="H64" s="30" t="s">
        <v>506</v>
      </c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 ht="29.4" thickBot="1" x14ac:dyDescent="0.35">
      <c r="A65" s="27"/>
      <c r="B65" s="31" t="s">
        <v>492</v>
      </c>
      <c r="C65" s="31" t="s">
        <v>22</v>
      </c>
      <c r="D65" s="23"/>
      <c r="E65" s="32" t="s">
        <v>507</v>
      </c>
      <c r="F65" s="31" t="s">
        <v>426</v>
      </c>
      <c r="G65" s="31" t="s">
        <v>502</v>
      </c>
      <c r="H65" s="33" t="s">
        <v>501</v>
      </c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 ht="43.8" thickBot="1" x14ac:dyDescent="0.35">
      <c r="A66" s="27"/>
      <c r="B66" s="28" t="s">
        <v>418</v>
      </c>
      <c r="C66" s="28" t="s">
        <v>341</v>
      </c>
      <c r="D66" s="23"/>
      <c r="E66" s="34">
        <v>41459</v>
      </c>
      <c r="F66" s="28" t="s">
        <v>508</v>
      </c>
      <c r="G66" s="28" t="s">
        <v>459</v>
      </c>
      <c r="H66" s="30" t="s">
        <v>509</v>
      </c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 ht="29.4" thickBot="1" x14ac:dyDescent="0.35">
      <c r="A67" s="27"/>
      <c r="B67" s="31" t="s">
        <v>423</v>
      </c>
      <c r="C67" s="31" t="s">
        <v>341</v>
      </c>
      <c r="D67" s="23"/>
      <c r="E67" s="35">
        <v>41376</v>
      </c>
      <c r="F67" s="31" t="s">
        <v>510</v>
      </c>
      <c r="G67" s="31" t="s">
        <v>375</v>
      </c>
      <c r="H67" s="33" t="s">
        <v>511</v>
      </c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 ht="43.8" thickBot="1" x14ac:dyDescent="0.35">
      <c r="A68" s="27"/>
      <c r="B68" s="28" t="s">
        <v>428</v>
      </c>
      <c r="C68" s="28" t="s">
        <v>341</v>
      </c>
      <c r="D68" s="23"/>
      <c r="E68" s="29" t="s">
        <v>512</v>
      </c>
      <c r="F68" s="28" t="s">
        <v>479</v>
      </c>
      <c r="G68" s="28" t="s">
        <v>513</v>
      </c>
      <c r="H68" s="30" t="s">
        <v>348</v>
      </c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ht="43.8" thickBot="1" x14ac:dyDescent="0.35">
      <c r="A69" s="27"/>
      <c r="B69" s="31" t="s">
        <v>406</v>
      </c>
      <c r="C69" s="31" t="s">
        <v>341</v>
      </c>
      <c r="D69" s="23"/>
      <c r="E69" s="32" t="s">
        <v>514</v>
      </c>
      <c r="F69" s="31" t="s">
        <v>494</v>
      </c>
      <c r="G69" s="31" t="s">
        <v>499</v>
      </c>
      <c r="H69" s="33" t="s">
        <v>363</v>
      </c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 ht="43.8" thickBot="1" x14ac:dyDescent="0.35">
      <c r="A70" s="27"/>
      <c r="B70" s="28" t="s">
        <v>396</v>
      </c>
      <c r="C70" s="28" t="s">
        <v>341</v>
      </c>
      <c r="D70" s="23"/>
      <c r="E70" s="29" t="s">
        <v>515</v>
      </c>
      <c r="F70" s="28" t="s">
        <v>435</v>
      </c>
      <c r="G70" s="28" t="s">
        <v>157</v>
      </c>
      <c r="H70" s="30" t="s">
        <v>516</v>
      </c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ht="29.4" thickBot="1" x14ac:dyDescent="0.35">
      <c r="A71" s="27"/>
      <c r="B71" s="31" t="s">
        <v>432</v>
      </c>
      <c r="C71" s="31" t="s">
        <v>341</v>
      </c>
      <c r="D71" s="23"/>
      <c r="E71" s="32" t="s">
        <v>517</v>
      </c>
      <c r="F71" s="31" t="s">
        <v>518</v>
      </c>
      <c r="G71" s="31" t="s">
        <v>519</v>
      </c>
      <c r="H71" s="33" t="s">
        <v>520</v>
      </c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ht="43.8" thickBot="1" x14ac:dyDescent="0.35">
      <c r="A72" s="27"/>
      <c r="B72" s="28" t="s">
        <v>508</v>
      </c>
      <c r="C72" s="28" t="s">
        <v>17</v>
      </c>
      <c r="D72" s="23"/>
      <c r="E72" s="34">
        <v>41556</v>
      </c>
      <c r="F72" s="28" t="s">
        <v>389</v>
      </c>
      <c r="G72" s="28" t="s">
        <v>397</v>
      </c>
      <c r="H72" s="30" t="s">
        <v>521</v>
      </c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ht="43.8" thickBot="1" x14ac:dyDescent="0.35">
      <c r="A73" s="27"/>
      <c r="B73" s="31" t="s">
        <v>469</v>
      </c>
      <c r="C73" s="31" t="s">
        <v>22</v>
      </c>
      <c r="D73" s="23"/>
      <c r="E73" s="35">
        <v>41651</v>
      </c>
      <c r="F73" s="31" t="s">
        <v>395</v>
      </c>
      <c r="G73" s="31" t="s">
        <v>158</v>
      </c>
      <c r="H73" s="33" t="s">
        <v>481</v>
      </c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ht="29.4" thickBot="1" x14ac:dyDescent="0.35">
      <c r="A74" s="27"/>
      <c r="B74" s="28" t="s">
        <v>518</v>
      </c>
      <c r="C74" s="28" t="s">
        <v>17</v>
      </c>
      <c r="D74" s="23"/>
      <c r="E74" s="29" t="s">
        <v>522</v>
      </c>
      <c r="F74" s="28" t="s">
        <v>475</v>
      </c>
      <c r="G74" s="28" t="s">
        <v>375</v>
      </c>
      <c r="H74" s="30" t="s">
        <v>496</v>
      </c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ht="29.4" thickBot="1" x14ac:dyDescent="0.35">
      <c r="A75" s="27"/>
      <c r="B75" s="31" t="s">
        <v>510</v>
      </c>
      <c r="C75" s="31" t="s">
        <v>17</v>
      </c>
      <c r="D75" s="23"/>
      <c r="E75" s="35">
        <v>41682</v>
      </c>
      <c r="F75" s="31" t="s">
        <v>366</v>
      </c>
      <c r="G75" s="31" t="s">
        <v>160</v>
      </c>
      <c r="H75" s="33" t="s">
        <v>523</v>
      </c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 ht="29.4" thickBot="1" x14ac:dyDescent="0.35">
      <c r="A76" s="27"/>
      <c r="B76" s="28" t="s">
        <v>356</v>
      </c>
      <c r="C76" s="28" t="s">
        <v>13</v>
      </c>
      <c r="D76" s="23"/>
      <c r="E76" s="29" t="s">
        <v>524</v>
      </c>
      <c r="F76" s="28" t="s">
        <v>412</v>
      </c>
      <c r="G76" s="28" t="s">
        <v>387</v>
      </c>
      <c r="H76" s="30" t="s">
        <v>525</v>
      </c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 ht="29.4" thickBot="1" x14ac:dyDescent="0.35">
      <c r="A77" s="27"/>
      <c r="B77" s="36" t="s">
        <v>337</v>
      </c>
      <c r="C77" s="36" t="s">
        <v>13</v>
      </c>
      <c r="D77" s="23"/>
      <c r="E77" s="32" t="s">
        <v>526</v>
      </c>
      <c r="F77" s="31" t="s">
        <v>401</v>
      </c>
      <c r="G77" s="31" t="s">
        <v>383</v>
      </c>
      <c r="H77" s="33" t="s">
        <v>501</v>
      </c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 ht="29.4" thickBot="1" x14ac:dyDescent="0.35">
      <c r="A78" s="23"/>
      <c r="B78" s="23"/>
      <c r="C78" s="23"/>
      <c r="D78" s="23"/>
      <c r="E78" s="29" t="s">
        <v>527</v>
      </c>
      <c r="F78" s="28" t="s">
        <v>528</v>
      </c>
      <c r="G78" s="28" t="s">
        <v>414</v>
      </c>
      <c r="H78" s="30" t="s">
        <v>529</v>
      </c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 ht="29.4" thickBot="1" x14ac:dyDescent="0.35">
      <c r="A79" s="23"/>
      <c r="B79" s="23"/>
      <c r="C79" s="23"/>
      <c r="D79" s="23"/>
      <c r="E79" s="32" t="s">
        <v>498</v>
      </c>
      <c r="F79" s="31" t="s">
        <v>530</v>
      </c>
      <c r="G79" s="31" t="s">
        <v>343</v>
      </c>
      <c r="H79" s="33" t="s">
        <v>531</v>
      </c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 ht="29.4" thickBot="1" x14ac:dyDescent="0.35">
      <c r="A80" s="23"/>
      <c r="B80" s="23"/>
      <c r="C80" s="23"/>
      <c r="D80" s="23"/>
      <c r="E80" s="29" t="s">
        <v>532</v>
      </c>
      <c r="F80" s="28" t="s">
        <v>533</v>
      </c>
      <c r="G80" s="28" t="s">
        <v>161</v>
      </c>
      <c r="H80" s="30" t="s">
        <v>534</v>
      </c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 ht="29.4" thickBot="1" x14ac:dyDescent="0.35">
      <c r="A81" s="23"/>
      <c r="B81" s="23"/>
      <c r="C81" s="23"/>
      <c r="D81" s="23"/>
      <c r="E81" s="32" t="s">
        <v>535</v>
      </c>
      <c r="F81" s="31" t="s">
        <v>536</v>
      </c>
      <c r="G81" s="31" t="s">
        <v>424</v>
      </c>
      <c r="H81" s="33" t="s">
        <v>496</v>
      </c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 ht="29.4" thickBot="1" x14ac:dyDescent="0.35">
      <c r="A82" s="23"/>
      <c r="B82" s="23"/>
      <c r="C82" s="23"/>
      <c r="D82" s="23"/>
      <c r="E82" s="29" t="s">
        <v>537</v>
      </c>
      <c r="F82" s="28" t="s">
        <v>538</v>
      </c>
      <c r="G82" s="28" t="s">
        <v>160</v>
      </c>
      <c r="H82" s="30" t="s">
        <v>495</v>
      </c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 ht="29.4" thickBot="1" x14ac:dyDescent="0.35">
      <c r="A83" s="23"/>
      <c r="B83" s="23"/>
      <c r="C83" s="23"/>
      <c r="D83" s="23"/>
      <c r="E83" s="32" t="s">
        <v>539</v>
      </c>
      <c r="F83" s="31" t="s">
        <v>540</v>
      </c>
      <c r="G83" s="31" t="s">
        <v>375</v>
      </c>
      <c r="H83" s="33" t="s">
        <v>541</v>
      </c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ht="29.4" thickBot="1" x14ac:dyDescent="0.35">
      <c r="A84" s="23"/>
      <c r="B84" s="23"/>
      <c r="C84" s="23"/>
      <c r="D84" s="23"/>
      <c r="E84" s="29" t="s">
        <v>542</v>
      </c>
      <c r="F84" s="28" t="s">
        <v>543</v>
      </c>
      <c r="G84" s="28" t="s">
        <v>352</v>
      </c>
      <c r="H84" s="30" t="s">
        <v>544</v>
      </c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 ht="43.8" thickBot="1" x14ac:dyDescent="0.35">
      <c r="A85" s="23"/>
      <c r="B85" s="23"/>
      <c r="C85" s="23"/>
      <c r="D85" s="23"/>
      <c r="E85" s="32" t="s">
        <v>545</v>
      </c>
      <c r="F85" s="31" t="s">
        <v>546</v>
      </c>
      <c r="G85" s="31" t="s">
        <v>156</v>
      </c>
      <c r="H85" s="33" t="s">
        <v>547</v>
      </c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 ht="43.8" thickBot="1" x14ac:dyDescent="0.35">
      <c r="A86" s="23"/>
      <c r="B86" s="23"/>
      <c r="C86" s="23"/>
      <c r="D86" s="23"/>
      <c r="E86" s="29" t="s">
        <v>507</v>
      </c>
      <c r="F86" s="28" t="s">
        <v>548</v>
      </c>
      <c r="G86" s="28" t="s">
        <v>414</v>
      </c>
      <c r="H86" s="30" t="s">
        <v>549</v>
      </c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 ht="29.4" thickBot="1" x14ac:dyDescent="0.35">
      <c r="A87" s="23"/>
      <c r="B87" s="23"/>
      <c r="C87" s="23"/>
      <c r="D87" s="23"/>
      <c r="E87" s="32" t="s">
        <v>550</v>
      </c>
      <c r="F87" s="31" t="s">
        <v>551</v>
      </c>
      <c r="G87" s="31" t="s">
        <v>157</v>
      </c>
      <c r="H87" s="33" t="s">
        <v>552</v>
      </c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 ht="29.4" thickBot="1" x14ac:dyDescent="0.35">
      <c r="A88" s="23"/>
      <c r="B88" s="23"/>
      <c r="C88" s="23"/>
      <c r="D88" s="23"/>
      <c r="E88" s="29" t="s">
        <v>553</v>
      </c>
      <c r="F88" s="28" t="s">
        <v>554</v>
      </c>
      <c r="G88" s="28" t="s">
        <v>375</v>
      </c>
      <c r="H88" s="30" t="s">
        <v>555</v>
      </c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ht="29.4" thickBot="1" x14ac:dyDescent="0.35">
      <c r="A89" s="23"/>
      <c r="B89" s="23"/>
      <c r="C89" s="23"/>
      <c r="D89" s="23"/>
      <c r="E89" s="35">
        <v>41437</v>
      </c>
      <c r="F89" s="31" t="s">
        <v>556</v>
      </c>
      <c r="G89" s="31" t="s">
        <v>557</v>
      </c>
      <c r="H89" s="33" t="s">
        <v>403</v>
      </c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 ht="43.8" thickBot="1" x14ac:dyDescent="0.35">
      <c r="A90" s="23"/>
      <c r="B90" s="23"/>
      <c r="C90" s="23"/>
      <c r="D90" s="23"/>
      <c r="E90" s="29" t="s">
        <v>558</v>
      </c>
      <c r="F90" s="28" t="s">
        <v>559</v>
      </c>
      <c r="G90" s="28" t="s">
        <v>343</v>
      </c>
      <c r="H90" s="30" t="s">
        <v>560</v>
      </c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 ht="29.4" thickBot="1" x14ac:dyDescent="0.35">
      <c r="A91" s="23"/>
      <c r="B91" s="23"/>
      <c r="C91" s="23"/>
      <c r="D91" s="23"/>
      <c r="E91" s="32" t="s">
        <v>561</v>
      </c>
      <c r="F91" s="31" t="s">
        <v>562</v>
      </c>
      <c r="G91" s="31" t="s">
        <v>563</v>
      </c>
      <c r="H91" s="33" t="s">
        <v>564</v>
      </c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ht="29.4" thickBot="1" x14ac:dyDescent="0.35">
      <c r="A92" s="23"/>
      <c r="B92" s="23"/>
      <c r="C92" s="23"/>
      <c r="D92" s="23"/>
      <c r="E92" s="29" t="s">
        <v>409</v>
      </c>
      <c r="F92" s="28" t="s">
        <v>565</v>
      </c>
      <c r="G92" s="28" t="s">
        <v>375</v>
      </c>
      <c r="H92" s="30" t="s">
        <v>470</v>
      </c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ht="29.4" thickBot="1" x14ac:dyDescent="0.35">
      <c r="A93" s="23"/>
      <c r="B93" s="23"/>
      <c r="C93" s="23"/>
      <c r="D93" s="23"/>
      <c r="E93" s="32" t="s">
        <v>505</v>
      </c>
      <c r="F93" s="31" t="s">
        <v>566</v>
      </c>
      <c r="G93" s="31" t="s">
        <v>563</v>
      </c>
      <c r="H93" s="33" t="s">
        <v>567</v>
      </c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ht="29.4" thickBot="1" x14ac:dyDescent="0.35">
      <c r="A94" s="23"/>
      <c r="B94" s="23"/>
      <c r="C94" s="23"/>
      <c r="D94" s="23"/>
      <c r="E94" s="34">
        <v>41650</v>
      </c>
      <c r="F94" s="28" t="s">
        <v>568</v>
      </c>
      <c r="G94" s="28" t="s">
        <v>441</v>
      </c>
      <c r="H94" s="30" t="s">
        <v>569</v>
      </c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ht="29.4" thickBot="1" x14ac:dyDescent="0.35">
      <c r="A95" s="23"/>
      <c r="B95" s="23"/>
      <c r="C95" s="23"/>
      <c r="D95" s="23"/>
      <c r="E95" s="32" t="s">
        <v>570</v>
      </c>
      <c r="F95" s="31" t="s">
        <v>571</v>
      </c>
      <c r="G95" s="31" t="s">
        <v>343</v>
      </c>
      <c r="H95" s="33" t="s">
        <v>572</v>
      </c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ht="29.4" thickBot="1" x14ac:dyDescent="0.35">
      <c r="A96" s="23"/>
      <c r="B96" s="23"/>
      <c r="C96" s="23"/>
      <c r="D96" s="23"/>
      <c r="E96" s="34">
        <v>41428</v>
      </c>
      <c r="F96" s="28" t="s">
        <v>573</v>
      </c>
      <c r="G96" s="28" t="s">
        <v>352</v>
      </c>
      <c r="H96" s="30" t="s">
        <v>574</v>
      </c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ht="29.4" thickBot="1" x14ac:dyDescent="0.35">
      <c r="A97" s="23"/>
      <c r="B97" s="23"/>
      <c r="C97" s="23"/>
      <c r="D97" s="23"/>
      <c r="E97" s="35">
        <v>41985</v>
      </c>
      <c r="F97" s="31" t="s">
        <v>575</v>
      </c>
      <c r="G97" s="31" t="s">
        <v>557</v>
      </c>
      <c r="H97" s="33" t="s">
        <v>576</v>
      </c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ht="29.4" thickBot="1" x14ac:dyDescent="0.35">
      <c r="A98" s="23"/>
      <c r="B98" s="23"/>
      <c r="C98" s="23"/>
      <c r="D98" s="23"/>
      <c r="E98" s="34">
        <v>41341</v>
      </c>
      <c r="F98" s="28" t="s">
        <v>577</v>
      </c>
      <c r="G98" s="28" t="s">
        <v>160</v>
      </c>
      <c r="H98" s="30" t="s">
        <v>388</v>
      </c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ht="29.4" thickBot="1" x14ac:dyDescent="0.35">
      <c r="A99" s="23"/>
      <c r="B99" s="23"/>
      <c r="C99" s="23"/>
      <c r="D99" s="23"/>
      <c r="E99" s="32" t="s">
        <v>578</v>
      </c>
      <c r="F99" s="31" t="s">
        <v>579</v>
      </c>
      <c r="G99" s="31" t="s">
        <v>557</v>
      </c>
      <c r="H99" s="33" t="s">
        <v>580</v>
      </c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 ht="43.8" thickBot="1" x14ac:dyDescent="0.35">
      <c r="A100" s="23"/>
      <c r="B100" s="23"/>
      <c r="C100" s="23"/>
      <c r="D100" s="23"/>
      <c r="E100" s="34">
        <v>41498</v>
      </c>
      <c r="F100" s="28" t="s">
        <v>581</v>
      </c>
      <c r="G100" s="28" t="s">
        <v>159</v>
      </c>
      <c r="H100" s="30" t="s">
        <v>348</v>
      </c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ht="43.8" thickBot="1" x14ac:dyDescent="0.35">
      <c r="A101" s="23"/>
      <c r="B101" s="23"/>
      <c r="C101" s="23"/>
      <c r="D101" s="23"/>
      <c r="E101" s="32" t="s">
        <v>535</v>
      </c>
      <c r="F101" s="31" t="s">
        <v>582</v>
      </c>
      <c r="G101" s="31" t="s">
        <v>480</v>
      </c>
      <c r="H101" s="33" t="s">
        <v>583</v>
      </c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ht="29.4" thickBot="1" x14ac:dyDescent="0.35">
      <c r="A102" s="23"/>
      <c r="B102" s="23"/>
      <c r="C102" s="23"/>
      <c r="D102" s="23"/>
      <c r="E102" s="34">
        <v>41980</v>
      </c>
      <c r="F102" s="28" t="s">
        <v>584</v>
      </c>
      <c r="G102" s="28" t="s">
        <v>387</v>
      </c>
      <c r="H102" s="30" t="s">
        <v>560</v>
      </c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ht="29.4" thickBot="1" x14ac:dyDescent="0.35">
      <c r="A103" s="23"/>
      <c r="B103" s="23"/>
      <c r="C103" s="23"/>
      <c r="D103" s="23"/>
      <c r="E103" s="32" t="s">
        <v>515</v>
      </c>
      <c r="F103" s="31" t="s">
        <v>585</v>
      </c>
      <c r="G103" s="31" t="s">
        <v>410</v>
      </c>
      <c r="H103" s="33" t="s">
        <v>544</v>
      </c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ht="29.4" thickBot="1" x14ac:dyDescent="0.35">
      <c r="A104" s="23"/>
      <c r="B104" s="23"/>
      <c r="C104" s="23"/>
      <c r="D104" s="23"/>
      <c r="E104" s="29" t="s">
        <v>586</v>
      </c>
      <c r="F104" s="28" t="s">
        <v>587</v>
      </c>
      <c r="G104" s="28" t="s">
        <v>158</v>
      </c>
      <c r="H104" s="30" t="s">
        <v>569</v>
      </c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ht="29.4" thickBot="1" x14ac:dyDescent="0.35">
      <c r="A105" s="23"/>
      <c r="B105" s="23"/>
      <c r="C105" s="23"/>
      <c r="D105" s="23"/>
      <c r="E105" s="35">
        <v>41529</v>
      </c>
      <c r="F105" s="31" t="s">
        <v>588</v>
      </c>
      <c r="G105" s="31" t="s">
        <v>156</v>
      </c>
      <c r="H105" s="33" t="s">
        <v>589</v>
      </c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ht="29.4" thickBot="1" x14ac:dyDescent="0.35">
      <c r="A106" s="23"/>
      <c r="B106" s="23"/>
      <c r="C106" s="23"/>
      <c r="D106" s="23"/>
      <c r="E106" s="29" t="s">
        <v>590</v>
      </c>
      <c r="F106" s="28" t="s">
        <v>591</v>
      </c>
      <c r="G106" s="28" t="s">
        <v>347</v>
      </c>
      <c r="H106" s="30" t="s">
        <v>463</v>
      </c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ht="29.4" thickBot="1" x14ac:dyDescent="0.35">
      <c r="A107" s="23"/>
      <c r="B107" s="23"/>
      <c r="C107" s="23"/>
      <c r="D107" s="23"/>
      <c r="E107" s="35">
        <v>41681</v>
      </c>
      <c r="F107" s="31" t="s">
        <v>592</v>
      </c>
      <c r="G107" s="31" t="s">
        <v>410</v>
      </c>
      <c r="H107" s="33" t="s">
        <v>453</v>
      </c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ht="29.4" thickBot="1" x14ac:dyDescent="0.35">
      <c r="A108" s="23"/>
      <c r="B108" s="23"/>
      <c r="C108" s="23"/>
      <c r="D108" s="23"/>
      <c r="E108" s="29" t="s">
        <v>468</v>
      </c>
      <c r="F108" s="28" t="s">
        <v>593</v>
      </c>
      <c r="G108" s="28" t="s">
        <v>410</v>
      </c>
      <c r="H108" s="30" t="s">
        <v>594</v>
      </c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ht="29.4" thickBot="1" x14ac:dyDescent="0.35">
      <c r="A109" s="23"/>
      <c r="B109" s="23"/>
      <c r="C109" s="23"/>
      <c r="D109" s="23"/>
      <c r="E109" s="32" t="s">
        <v>595</v>
      </c>
      <c r="F109" s="31" t="s">
        <v>596</v>
      </c>
      <c r="G109" s="31" t="s">
        <v>513</v>
      </c>
      <c r="H109" s="33" t="s">
        <v>597</v>
      </c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ht="29.4" thickBot="1" x14ac:dyDescent="0.35">
      <c r="A110" s="23"/>
      <c r="B110" s="23"/>
      <c r="C110" s="23"/>
      <c r="D110" s="23"/>
      <c r="E110" s="34">
        <v>41529</v>
      </c>
      <c r="F110" s="28" t="s">
        <v>598</v>
      </c>
      <c r="G110" s="28" t="s">
        <v>160</v>
      </c>
      <c r="H110" s="30" t="s">
        <v>599</v>
      </c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ht="43.8" thickBot="1" x14ac:dyDescent="0.35">
      <c r="A111" s="23"/>
      <c r="B111" s="23"/>
      <c r="C111" s="23"/>
      <c r="D111" s="23"/>
      <c r="E111" s="35">
        <v>41741</v>
      </c>
      <c r="F111" s="31" t="s">
        <v>600</v>
      </c>
      <c r="G111" s="31" t="s">
        <v>601</v>
      </c>
      <c r="H111" s="33" t="s">
        <v>534</v>
      </c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ht="29.4" thickBot="1" x14ac:dyDescent="0.35">
      <c r="A112" s="23"/>
      <c r="B112" s="23"/>
      <c r="C112" s="23"/>
      <c r="D112" s="23"/>
      <c r="E112" s="34">
        <v>41894</v>
      </c>
      <c r="F112" s="28" t="s">
        <v>602</v>
      </c>
      <c r="G112" s="28" t="s">
        <v>158</v>
      </c>
      <c r="H112" s="30" t="s">
        <v>603</v>
      </c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ht="29.4" thickBot="1" x14ac:dyDescent="0.35">
      <c r="A113" s="23"/>
      <c r="B113" s="23"/>
      <c r="C113" s="23"/>
      <c r="D113" s="23"/>
      <c r="E113" s="32" t="s">
        <v>604</v>
      </c>
      <c r="F113" s="31" t="s">
        <v>605</v>
      </c>
      <c r="G113" s="31" t="s">
        <v>606</v>
      </c>
      <c r="H113" s="33" t="s">
        <v>544</v>
      </c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ht="29.4" thickBot="1" x14ac:dyDescent="0.35">
      <c r="A114" s="23"/>
      <c r="B114" s="23"/>
      <c r="C114" s="23"/>
      <c r="D114" s="23"/>
      <c r="E114" s="29" t="s">
        <v>355</v>
      </c>
      <c r="F114" s="28" t="s">
        <v>607</v>
      </c>
      <c r="G114" s="28" t="s">
        <v>414</v>
      </c>
      <c r="H114" s="30" t="s">
        <v>608</v>
      </c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ht="29.4" thickBot="1" x14ac:dyDescent="0.35">
      <c r="A115" s="23"/>
      <c r="B115" s="23"/>
      <c r="C115" s="23"/>
      <c r="D115" s="23"/>
      <c r="E115" s="35">
        <v>41741</v>
      </c>
      <c r="F115" s="31" t="s">
        <v>609</v>
      </c>
      <c r="G115" s="31" t="s">
        <v>343</v>
      </c>
      <c r="H115" s="33" t="s">
        <v>503</v>
      </c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ht="29.4" thickBot="1" x14ac:dyDescent="0.35">
      <c r="A116" s="23"/>
      <c r="B116" s="23"/>
      <c r="C116" s="23"/>
      <c r="D116" s="23"/>
      <c r="E116" s="34">
        <v>41888</v>
      </c>
      <c r="F116" s="28" t="s">
        <v>610</v>
      </c>
      <c r="G116" s="28" t="s">
        <v>611</v>
      </c>
      <c r="H116" s="30" t="s">
        <v>408</v>
      </c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ht="29.4" thickBot="1" x14ac:dyDescent="0.35">
      <c r="A117" s="23"/>
      <c r="B117" s="23"/>
      <c r="C117" s="23"/>
      <c r="D117" s="23"/>
      <c r="E117" s="32" t="s">
        <v>612</v>
      </c>
      <c r="F117" s="31" t="s">
        <v>613</v>
      </c>
      <c r="G117" s="31" t="s">
        <v>557</v>
      </c>
      <c r="H117" s="33" t="s">
        <v>496</v>
      </c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 ht="29.4" thickBot="1" x14ac:dyDescent="0.35">
      <c r="A118" s="23"/>
      <c r="B118" s="23"/>
      <c r="C118" s="23"/>
      <c r="D118" s="23"/>
      <c r="E118" s="34">
        <v>41436</v>
      </c>
      <c r="F118" s="28" t="s">
        <v>614</v>
      </c>
      <c r="G118" s="28" t="s">
        <v>347</v>
      </c>
      <c r="H118" s="30" t="s">
        <v>481</v>
      </c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 ht="29.4" thickBot="1" x14ac:dyDescent="0.35">
      <c r="A119" s="23"/>
      <c r="B119" s="23"/>
      <c r="C119" s="23"/>
      <c r="D119" s="23"/>
      <c r="E119" s="32" t="s">
        <v>615</v>
      </c>
      <c r="F119" s="31" t="s">
        <v>616</v>
      </c>
      <c r="G119" s="31" t="s">
        <v>156</v>
      </c>
      <c r="H119" s="33" t="s">
        <v>617</v>
      </c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 ht="29.4" thickBot="1" x14ac:dyDescent="0.35">
      <c r="A120" s="23"/>
      <c r="B120" s="23"/>
      <c r="C120" s="23"/>
      <c r="D120" s="23"/>
      <c r="E120" s="29" t="s">
        <v>618</v>
      </c>
      <c r="F120" s="28" t="s">
        <v>619</v>
      </c>
      <c r="G120" s="28" t="s">
        <v>601</v>
      </c>
      <c r="H120" s="30" t="s">
        <v>620</v>
      </c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 ht="29.4" thickBot="1" x14ac:dyDescent="0.35">
      <c r="A121" s="23"/>
      <c r="B121" s="23"/>
      <c r="C121" s="23"/>
      <c r="D121" s="23"/>
      <c r="E121" s="32" t="s">
        <v>621</v>
      </c>
      <c r="F121" s="31" t="s">
        <v>622</v>
      </c>
      <c r="G121" s="31" t="s">
        <v>410</v>
      </c>
      <c r="H121" s="33" t="s">
        <v>623</v>
      </c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 ht="29.4" thickBot="1" x14ac:dyDescent="0.35">
      <c r="A122" s="23"/>
      <c r="B122" s="23"/>
      <c r="C122" s="23"/>
      <c r="D122" s="23"/>
      <c r="E122" s="29" t="s">
        <v>624</v>
      </c>
      <c r="F122" s="28" t="s">
        <v>625</v>
      </c>
      <c r="G122" s="28" t="s">
        <v>343</v>
      </c>
      <c r="H122" s="30" t="s">
        <v>589</v>
      </c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 ht="29.4" thickBot="1" x14ac:dyDescent="0.35">
      <c r="A123" s="23"/>
      <c r="B123" s="23"/>
      <c r="C123" s="23"/>
      <c r="D123" s="23"/>
      <c r="E123" s="35">
        <v>41558</v>
      </c>
      <c r="F123" s="31" t="s">
        <v>626</v>
      </c>
      <c r="G123" s="31" t="s">
        <v>383</v>
      </c>
      <c r="H123" s="33" t="s">
        <v>437</v>
      </c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 ht="29.4" thickBot="1" x14ac:dyDescent="0.35">
      <c r="A124" s="23"/>
      <c r="B124" s="23"/>
      <c r="C124" s="23"/>
      <c r="D124" s="23"/>
      <c r="E124" s="29" t="s">
        <v>627</v>
      </c>
      <c r="F124" s="28" t="s">
        <v>628</v>
      </c>
      <c r="G124" s="28" t="s">
        <v>338</v>
      </c>
      <c r="H124" s="30" t="s">
        <v>617</v>
      </c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 ht="29.4" thickBot="1" x14ac:dyDescent="0.35">
      <c r="A125" s="23"/>
      <c r="B125" s="23"/>
      <c r="C125" s="23"/>
      <c r="D125" s="23"/>
      <c r="E125" s="32" t="s">
        <v>532</v>
      </c>
      <c r="F125" s="31" t="s">
        <v>629</v>
      </c>
      <c r="G125" s="31" t="s">
        <v>419</v>
      </c>
      <c r="H125" s="33" t="s">
        <v>630</v>
      </c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 ht="43.8" thickBot="1" x14ac:dyDescent="0.35">
      <c r="A126" s="23"/>
      <c r="B126" s="23"/>
      <c r="C126" s="23"/>
      <c r="D126" s="23"/>
      <c r="E126" s="34">
        <v>41589</v>
      </c>
      <c r="F126" s="28" t="s">
        <v>631</v>
      </c>
      <c r="G126" s="28" t="s">
        <v>343</v>
      </c>
      <c r="H126" s="30" t="s">
        <v>597</v>
      </c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 ht="29.4" thickBot="1" x14ac:dyDescent="0.35">
      <c r="A127" s="23"/>
      <c r="B127" s="23"/>
      <c r="C127" s="23"/>
      <c r="D127" s="23"/>
      <c r="E127" s="32" t="s">
        <v>468</v>
      </c>
      <c r="F127" s="31" t="s">
        <v>632</v>
      </c>
      <c r="G127" s="31" t="s">
        <v>441</v>
      </c>
      <c r="H127" s="33" t="s">
        <v>495</v>
      </c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 ht="29.4" thickBot="1" x14ac:dyDescent="0.35">
      <c r="A128" s="23"/>
      <c r="B128" s="23"/>
      <c r="C128" s="23"/>
      <c r="D128" s="23"/>
      <c r="E128" s="29" t="s">
        <v>537</v>
      </c>
      <c r="F128" s="28" t="s">
        <v>633</v>
      </c>
      <c r="G128" s="28" t="s">
        <v>634</v>
      </c>
      <c r="H128" s="30" t="s">
        <v>635</v>
      </c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 ht="29.4" thickBot="1" x14ac:dyDescent="0.35">
      <c r="A129" s="23"/>
      <c r="B129" s="23"/>
      <c r="C129" s="23"/>
      <c r="D129" s="23"/>
      <c r="E129" s="35">
        <v>41559</v>
      </c>
      <c r="F129" s="31" t="s">
        <v>636</v>
      </c>
      <c r="G129" s="31" t="s">
        <v>383</v>
      </c>
      <c r="H129" s="33" t="s">
        <v>569</v>
      </c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 ht="43.8" thickBot="1" x14ac:dyDescent="0.35">
      <c r="A130" s="23"/>
      <c r="B130" s="23"/>
      <c r="C130" s="23"/>
      <c r="D130" s="23"/>
      <c r="E130" s="34">
        <v>41376</v>
      </c>
      <c r="F130" s="28" t="s">
        <v>637</v>
      </c>
      <c r="G130" s="28" t="s">
        <v>343</v>
      </c>
      <c r="H130" s="30" t="s">
        <v>384</v>
      </c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 ht="29.4" thickBot="1" x14ac:dyDescent="0.35">
      <c r="A131" s="23"/>
      <c r="B131" s="23"/>
      <c r="C131" s="23"/>
      <c r="D131" s="23"/>
      <c r="E131" s="35">
        <v>41405</v>
      </c>
      <c r="F131" s="31" t="s">
        <v>638</v>
      </c>
      <c r="G131" s="31" t="s">
        <v>352</v>
      </c>
      <c r="H131" s="33" t="s">
        <v>495</v>
      </c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 ht="29.4" thickBot="1" x14ac:dyDescent="0.35">
      <c r="A132" s="23"/>
      <c r="B132" s="23"/>
      <c r="C132" s="23"/>
      <c r="D132" s="23"/>
      <c r="E132" s="29" t="s">
        <v>639</v>
      </c>
      <c r="F132" s="28" t="s">
        <v>640</v>
      </c>
      <c r="G132" s="28" t="s">
        <v>343</v>
      </c>
      <c r="H132" s="30" t="s">
        <v>365</v>
      </c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 ht="29.4" thickBot="1" x14ac:dyDescent="0.35">
      <c r="A133" s="23"/>
      <c r="B133" s="23"/>
      <c r="C133" s="23"/>
      <c r="D133" s="23"/>
      <c r="E133" s="32" t="s">
        <v>641</v>
      </c>
      <c r="F133" s="31" t="s">
        <v>642</v>
      </c>
      <c r="G133" s="31" t="s">
        <v>158</v>
      </c>
      <c r="H133" s="33" t="s">
        <v>495</v>
      </c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 ht="29.4" thickBot="1" x14ac:dyDescent="0.35">
      <c r="A134" s="23"/>
      <c r="B134" s="23"/>
      <c r="C134" s="23"/>
      <c r="D134" s="23"/>
      <c r="E134" s="29" t="s">
        <v>643</v>
      </c>
      <c r="F134" s="28" t="s">
        <v>644</v>
      </c>
      <c r="G134" s="28" t="s">
        <v>343</v>
      </c>
      <c r="H134" s="30" t="s">
        <v>544</v>
      </c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 ht="29.4" thickBot="1" x14ac:dyDescent="0.35">
      <c r="A135" s="23"/>
      <c r="B135" s="23"/>
      <c r="C135" s="23"/>
      <c r="D135" s="23"/>
      <c r="E135" s="32" t="s">
        <v>645</v>
      </c>
      <c r="F135" s="31" t="s">
        <v>646</v>
      </c>
      <c r="G135" s="31" t="s">
        <v>563</v>
      </c>
      <c r="H135" s="33" t="s">
        <v>495</v>
      </c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 ht="29.4" thickBot="1" x14ac:dyDescent="0.35">
      <c r="A136" s="23"/>
      <c r="B136" s="23"/>
      <c r="C136" s="23"/>
      <c r="D136" s="23"/>
      <c r="E136" s="29" t="s">
        <v>647</v>
      </c>
      <c r="F136" s="28" t="s">
        <v>648</v>
      </c>
      <c r="G136" s="28" t="s">
        <v>383</v>
      </c>
      <c r="H136" s="30" t="s">
        <v>649</v>
      </c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 ht="29.4" thickBot="1" x14ac:dyDescent="0.35">
      <c r="A137" s="23"/>
      <c r="B137" s="23"/>
      <c r="C137" s="23"/>
      <c r="D137" s="23"/>
      <c r="E137" s="32" t="s">
        <v>618</v>
      </c>
      <c r="F137" s="31" t="s">
        <v>650</v>
      </c>
      <c r="G137" s="31" t="s">
        <v>480</v>
      </c>
      <c r="H137" s="33" t="s">
        <v>651</v>
      </c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 ht="43.8" thickBot="1" x14ac:dyDescent="0.35">
      <c r="A138" s="23"/>
      <c r="B138" s="23"/>
      <c r="C138" s="23"/>
      <c r="D138" s="23"/>
      <c r="E138" s="29" t="s">
        <v>652</v>
      </c>
      <c r="F138" s="28" t="s">
        <v>653</v>
      </c>
      <c r="G138" s="28" t="s">
        <v>397</v>
      </c>
      <c r="H138" s="30" t="s">
        <v>654</v>
      </c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 ht="43.8" thickBot="1" x14ac:dyDescent="0.35">
      <c r="A139" s="23"/>
      <c r="B139" s="23"/>
      <c r="C139" s="23"/>
      <c r="D139" s="23"/>
      <c r="E139" s="32" t="s">
        <v>645</v>
      </c>
      <c r="F139" s="31" t="s">
        <v>655</v>
      </c>
      <c r="G139" s="31" t="s">
        <v>343</v>
      </c>
      <c r="H139" s="33" t="s">
        <v>656</v>
      </c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 ht="29.4" thickBot="1" x14ac:dyDescent="0.35">
      <c r="A140" s="23"/>
      <c r="B140" s="23"/>
      <c r="C140" s="23"/>
      <c r="D140" s="23"/>
      <c r="E140" s="29" t="s">
        <v>657</v>
      </c>
      <c r="F140" s="28" t="s">
        <v>658</v>
      </c>
      <c r="G140" s="28" t="s">
        <v>347</v>
      </c>
      <c r="H140" s="30" t="s">
        <v>534</v>
      </c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 ht="29.4" thickBot="1" x14ac:dyDescent="0.35">
      <c r="A141" s="23"/>
      <c r="B141" s="23"/>
      <c r="C141" s="23"/>
      <c r="D141" s="23"/>
      <c r="E141" s="35">
        <v>41335</v>
      </c>
      <c r="F141" s="31" t="s">
        <v>659</v>
      </c>
      <c r="G141" s="31" t="s">
        <v>387</v>
      </c>
      <c r="H141" s="33" t="s">
        <v>660</v>
      </c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 ht="43.8" thickBot="1" x14ac:dyDescent="0.35">
      <c r="A142" s="23"/>
      <c r="B142" s="23"/>
      <c r="C142" s="23"/>
      <c r="D142" s="23"/>
      <c r="E142" s="34">
        <v>41376</v>
      </c>
      <c r="F142" s="28" t="s">
        <v>661</v>
      </c>
      <c r="G142" s="28" t="s">
        <v>410</v>
      </c>
      <c r="H142" s="30" t="s">
        <v>662</v>
      </c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 ht="29.4" thickBot="1" x14ac:dyDescent="0.35">
      <c r="A143" s="23"/>
      <c r="B143" s="23"/>
      <c r="C143" s="23"/>
      <c r="D143" s="23"/>
      <c r="E143" s="32" t="s">
        <v>405</v>
      </c>
      <c r="F143" s="31" t="s">
        <v>663</v>
      </c>
      <c r="G143" s="31" t="s">
        <v>161</v>
      </c>
      <c r="H143" s="33" t="s">
        <v>496</v>
      </c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ht="29.4" thickBot="1" x14ac:dyDescent="0.35">
      <c r="A144" s="23"/>
      <c r="B144" s="23"/>
      <c r="C144" s="23"/>
      <c r="D144" s="23"/>
      <c r="E144" s="29" t="s">
        <v>526</v>
      </c>
      <c r="F144" s="28" t="s">
        <v>664</v>
      </c>
      <c r="G144" s="28" t="s">
        <v>419</v>
      </c>
      <c r="H144" s="30" t="s">
        <v>665</v>
      </c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ht="29.4" thickBot="1" x14ac:dyDescent="0.35">
      <c r="A145" s="23"/>
      <c r="B145" s="23"/>
      <c r="C145" s="23"/>
      <c r="D145" s="23"/>
      <c r="E145" s="35">
        <v>41615</v>
      </c>
      <c r="F145" s="31" t="s">
        <v>666</v>
      </c>
      <c r="G145" s="31" t="s">
        <v>387</v>
      </c>
      <c r="H145" s="33" t="s">
        <v>495</v>
      </c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ht="29.4" thickBot="1" x14ac:dyDescent="0.35">
      <c r="A146" s="23"/>
      <c r="B146" s="23"/>
      <c r="C146" s="23"/>
      <c r="D146" s="23"/>
      <c r="E146" s="34">
        <v>41923</v>
      </c>
      <c r="F146" s="28" t="s">
        <v>667</v>
      </c>
      <c r="G146" s="28" t="s">
        <v>459</v>
      </c>
      <c r="H146" s="30" t="s">
        <v>668</v>
      </c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ht="29.4" thickBot="1" x14ac:dyDescent="0.35">
      <c r="A147" s="23"/>
      <c r="B147" s="23"/>
      <c r="C147" s="23"/>
      <c r="D147" s="23"/>
      <c r="E147" s="32" t="s">
        <v>669</v>
      </c>
      <c r="F147" s="31" t="s">
        <v>670</v>
      </c>
      <c r="G147" s="31" t="s">
        <v>347</v>
      </c>
      <c r="H147" s="33" t="s">
        <v>671</v>
      </c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ht="29.4" thickBot="1" x14ac:dyDescent="0.35">
      <c r="A148" s="23"/>
      <c r="B148" s="23"/>
      <c r="C148" s="23"/>
      <c r="D148" s="23"/>
      <c r="E148" s="29" t="s">
        <v>476</v>
      </c>
      <c r="F148" s="28" t="s">
        <v>672</v>
      </c>
      <c r="G148" s="28" t="s">
        <v>343</v>
      </c>
      <c r="H148" s="30" t="s">
        <v>483</v>
      </c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ht="29.4" thickBot="1" x14ac:dyDescent="0.35">
      <c r="A149" s="23"/>
      <c r="B149" s="23"/>
      <c r="C149" s="23"/>
      <c r="D149" s="23"/>
      <c r="E149" s="35">
        <v>41706</v>
      </c>
      <c r="F149" s="31" t="s">
        <v>673</v>
      </c>
      <c r="G149" s="31" t="s">
        <v>383</v>
      </c>
      <c r="H149" s="33" t="s">
        <v>674</v>
      </c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ht="29.4" thickBot="1" x14ac:dyDescent="0.35">
      <c r="A150" s="23"/>
      <c r="B150" s="23"/>
      <c r="C150" s="23"/>
      <c r="D150" s="23"/>
      <c r="E150" s="34">
        <v>41650</v>
      </c>
      <c r="F150" s="28" t="s">
        <v>675</v>
      </c>
      <c r="G150" s="28" t="s">
        <v>397</v>
      </c>
      <c r="H150" s="30" t="s">
        <v>384</v>
      </c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ht="29.4" thickBot="1" x14ac:dyDescent="0.35">
      <c r="A151" s="23"/>
      <c r="B151" s="23"/>
      <c r="C151" s="23"/>
      <c r="D151" s="23"/>
      <c r="E151" s="32" t="s">
        <v>676</v>
      </c>
      <c r="F151" s="31" t="s">
        <v>677</v>
      </c>
      <c r="G151" s="31" t="s">
        <v>410</v>
      </c>
      <c r="H151" s="33" t="s">
        <v>678</v>
      </c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ht="43.8" thickBot="1" x14ac:dyDescent="0.35">
      <c r="A152" s="23"/>
      <c r="B152" s="23"/>
      <c r="C152" s="23"/>
      <c r="D152" s="23"/>
      <c r="E152" s="29" t="s">
        <v>627</v>
      </c>
      <c r="F152" s="28" t="s">
        <v>679</v>
      </c>
      <c r="G152" s="28" t="s">
        <v>680</v>
      </c>
      <c r="H152" s="30" t="s">
        <v>681</v>
      </c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ht="43.8" thickBot="1" x14ac:dyDescent="0.35">
      <c r="A153" s="23"/>
      <c r="B153" s="23"/>
      <c r="C153" s="23"/>
      <c r="D153" s="23"/>
      <c r="E153" s="32" t="s">
        <v>682</v>
      </c>
      <c r="F153" s="31" t="s">
        <v>683</v>
      </c>
      <c r="G153" s="31" t="s">
        <v>410</v>
      </c>
      <c r="H153" s="33" t="s">
        <v>684</v>
      </c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ht="29.4" thickBot="1" x14ac:dyDescent="0.35">
      <c r="A154" s="23"/>
      <c r="B154" s="23"/>
      <c r="C154" s="23"/>
      <c r="D154" s="23"/>
      <c r="E154" s="29" t="s">
        <v>645</v>
      </c>
      <c r="F154" s="28" t="s">
        <v>685</v>
      </c>
      <c r="G154" s="28" t="s">
        <v>414</v>
      </c>
      <c r="H154" s="30" t="s">
        <v>359</v>
      </c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ht="43.8" thickBot="1" x14ac:dyDescent="0.35">
      <c r="A155" s="23"/>
      <c r="B155" s="23"/>
      <c r="C155" s="23"/>
      <c r="D155" s="23"/>
      <c r="E155" s="32" t="s">
        <v>686</v>
      </c>
      <c r="F155" s="31" t="s">
        <v>687</v>
      </c>
      <c r="G155" s="31" t="s">
        <v>459</v>
      </c>
      <c r="H155" s="33" t="s">
        <v>415</v>
      </c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ht="29.4" thickBot="1" x14ac:dyDescent="0.35">
      <c r="A156" s="23"/>
      <c r="B156" s="23"/>
      <c r="C156" s="23"/>
      <c r="D156" s="23"/>
      <c r="E156" s="34">
        <v>41682</v>
      </c>
      <c r="F156" s="28" t="s">
        <v>688</v>
      </c>
      <c r="G156" s="28" t="s">
        <v>424</v>
      </c>
      <c r="H156" s="30" t="s">
        <v>481</v>
      </c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ht="29.4" thickBot="1" x14ac:dyDescent="0.35">
      <c r="A157" s="23"/>
      <c r="B157" s="23"/>
      <c r="C157" s="23"/>
      <c r="D157" s="23"/>
      <c r="E157" s="32" t="s">
        <v>689</v>
      </c>
      <c r="F157" s="31" t="s">
        <v>690</v>
      </c>
      <c r="G157" s="31" t="s">
        <v>159</v>
      </c>
      <c r="H157" s="33" t="s">
        <v>384</v>
      </c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ht="29.4" thickBot="1" x14ac:dyDescent="0.35">
      <c r="A158" s="23"/>
      <c r="B158" s="23"/>
      <c r="C158" s="23"/>
      <c r="D158" s="23"/>
      <c r="E158" s="29" t="s">
        <v>647</v>
      </c>
      <c r="F158" s="28" t="s">
        <v>691</v>
      </c>
      <c r="G158" s="28" t="s">
        <v>429</v>
      </c>
      <c r="H158" s="30" t="s">
        <v>692</v>
      </c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ht="29.4" thickBot="1" x14ac:dyDescent="0.35">
      <c r="A159" s="23"/>
      <c r="B159" s="23"/>
      <c r="C159" s="23"/>
      <c r="D159" s="23"/>
      <c r="E159" s="32" t="s">
        <v>405</v>
      </c>
      <c r="F159" s="31" t="s">
        <v>693</v>
      </c>
      <c r="G159" s="31" t="s">
        <v>447</v>
      </c>
      <c r="H159" s="33" t="s">
        <v>501</v>
      </c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ht="29.4" thickBot="1" x14ac:dyDescent="0.35">
      <c r="A160" s="23"/>
      <c r="B160" s="23"/>
      <c r="C160" s="23"/>
      <c r="D160" s="23"/>
      <c r="E160" s="29" t="s">
        <v>457</v>
      </c>
      <c r="F160" s="28" t="s">
        <v>694</v>
      </c>
      <c r="G160" s="28" t="s">
        <v>695</v>
      </c>
      <c r="H160" s="30" t="s">
        <v>488</v>
      </c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ht="29.4" thickBot="1" x14ac:dyDescent="0.35">
      <c r="A161" s="23"/>
      <c r="B161" s="23"/>
      <c r="C161" s="23"/>
      <c r="D161" s="23"/>
      <c r="E161" s="32" t="s">
        <v>624</v>
      </c>
      <c r="F161" s="31" t="s">
        <v>696</v>
      </c>
      <c r="G161" s="31" t="s">
        <v>158</v>
      </c>
      <c r="H161" s="33" t="s">
        <v>523</v>
      </c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ht="43.8" thickBot="1" x14ac:dyDescent="0.35">
      <c r="A162" s="23"/>
      <c r="B162" s="23"/>
      <c r="C162" s="23"/>
      <c r="D162" s="23"/>
      <c r="E162" s="34">
        <v>41498</v>
      </c>
      <c r="F162" s="28" t="s">
        <v>697</v>
      </c>
      <c r="G162" s="28" t="s">
        <v>158</v>
      </c>
      <c r="H162" s="30" t="s">
        <v>448</v>
      </c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ht="29.4" thickBot="1" x14ac:dyDescent="0.35">
      <c r="A163" s="23"/>
      <c r="B163" s="23"/>
      <c r="C163" s="23"/>
      <c r="D163" s="23"/>
      <c r="E163" s="32" t="s">
        <v>504</v>
      </c>
      <c r="F163" s="31" t="s">
        <v>698</v>
      </c>
      <c r="G163" s="31" t="s">
        <v>383</v>
      </c>
      <c r="H163" s="33" t="s">
        <v>403</v>
      </c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ht="29.4" thickBot="1" x14ac:dyDescent="0.35">
      <c r="A164" s="23"/>
      <c r="B164" s="23"/>
      <c r="C164" s="23"/>
      <c r="D164" s="23"/>
      <c r="E164" s="34">
        <v>41498</v>
      </c>
      <c r="F164" s="28" t="s">
        <v>699</v>
      </c>
      <c r="G164" s="28" t="s">
        <v>343</v>
      </c>
      <c r="H164" s="30" t="s">
        <v>700</v>
      </c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ht="29.4" thickBot="1" x14ac:dyDescent="0.35">
      <c r="A165" s="23"/>
      <c r="B165" s="23"/>
      <c r="C165" s="23"/>
      <c r="D165" s="23"/>
      <c r="E165" s="32" t="s">
        <v>701</v>
      </c>
      <c r="F165" s="31" t="s">
        <v>702</v>
      </c>
      <c r="G165" s="31" t="s">
        <v>414</v>
      </c>
      <c r="H165" s="33" t="s">
        <v>703</v>
      </c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ht="29.4" thickBot="1" x14ac:dyDescent="0.35">
      <c r="A166" s="23"/>
      <c r="B166" s="23"/>
      <c r="C166" s="23"/>
      <c r="D166" s="23"/>
      <c r="E166" s="29" t="s">
        <v>704</v>
      </c>
      <c r="F166" s="28" t="s">
        <v>705</v>
      </c>
      <c r="G166" s="28" t="s">
        <v>159</v>
      </c>
      <c r="H166" s="30" t="s">
        <v>623</v>
      </c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ht="29.4" thickBot="1" x14ac:dyDescent="0.35">
      <c r="A167" s="23"/>
      <c r="B167" s="23"/>
      <c r="C167" s="23"/>
      <c r="D167" s="23"/>
      <c r="E167" s="32" t="s">
        <v>669</v>
      </c>
      <c r="F167" s="31" t="s">
        <v>706</v>
      </c>
      <c r="G167" s="31" t="s">
        <v>330</v>
      </c>
      <c r="H167" s="33" t="s">
        <v>437</v>
      </c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ht="29.4" thickBot="1" x14ac:dyDescent="0.35">
      <c r="A168" s="23"/>
      <c r="B168" s="23"/>
      <c r="C168" s="23"/>
      <c r="D168" s="23"/>
      <c r="E168" s="34">
        <v>41955</v>
      </c>
      <c r="F168" s="28" t="s">
        <v>707</v>
      </c>
      <c r="G168" s="28" t="s">
        <v>424</v>
      </c>
      <c r="H168" s="30" t="s">
        <v>503</v>
      </c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ht="29.4" thickBot="1" x14ac:dyDescent="0.35">
      <c r="A169" s="23"/>
      <c r="B169" s="23"/>
      <c r="C169" s="23"/>
      <c r="D169" s="23"/>
      <c r="E169" s="35">
        <v>41406</v>
      </c>
      <c r="F169" s="31" t="s">
        <v>708</v>
      </c>
      <c r="G169" s="31" t="s">
        <v>424</v>
      </c>
      <c r="H169" s="33" t="s">
        <v>709</v>
      </c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ht="29.4" thickBot="1" x14ac:dyDescent="0.35">
      <c r="A170" s="23"/>
      <c r="B170" s="23"/>
      <c r="C170" s="23"/>
      <c r="D170" s="23"/>
      <c r="E170" s="29" t="s">
        <v>710</v>
      </c>
      <c r="F170" s="28" t="s">
        <v>711</v>
      </c>
      <c r="G170" s="28" t="s">
        <v>429</v>
      </c>
      <c r="H170" s="30" t="s">
        <v>564</v>
      </c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ht="29.4" thickBot="1" x14ac:dyDescent="0.35">
      <c r="A171" s="23"/>
      <c r="B171" s="23"/>
      <c r="C171" s="23"/>
      <c r="D171" s="23"/>
      <c r="E171" s="32" t="s">
        <v>621</v>
      </c>
      <c r="F171" s="31" t="s">
        <v>712</v>
      </c>
      <c r="G171" s="31" t="s">
        <v>157</v>
      </c>
      <c r="H171" s="33" t="s">
        <v>523</v>
      </c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ht="43.8" thickBot="1" x14ac:dyDescent="0.35">
      <c r="A172" s="23"/>
      <c r="B172" s="23"/>
      <c r="C172" s="23"/>
      <c r="D172" s="23"/>
      <c r="E172" s="34">
        <v>41559</v>
      </c>
      <c r="F172" s="28" t="s">
        <v>713</v>
      </c>
      <c r="G172" s="28" t="s">
        <v>158</v>
      </c>
      <c r="H172" s="30" t="s">
        <v>714</v>
      </c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ht="29.4" thickBot="1" x14ac:dyDescent="0.35">
      <c r="A173" s="23"/>
      <c r="B173" s="23"/>
      <c r="C173" s="23"/>
      <c r="D173" s="23"/>
      <c r="E173" s="35">
        <v>41825</v>
      </c>
      <c r="F173" s="31" t="s">
        <v>715</v>
      </c>
      <c r="G173" s="31" t="s">
        <v>156</v>
      </c>
      <c r="H173" s="33" t="s">
        <v>453</v>
      </c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ht="29.4" thickBot="1" x14ac:dyDescent="0.35">
      <c r="A174" s="23"/>
      <c r="B174" s="23"/>
      <c r="C174" s="23"/>
      <c r="D174" s="23"/>
      <c r="E174" s="29" t="s">
        <v>542</v>
      </c>
      <c r="F174" s="28" t="s">
        <v>716</v>
      </c>
      <c r="G174" s="28" t="s">
        <v>158</v>
      </c>
      <c r="H174" s="30" t="s">
        <v>448</v>
      </c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ht="43.8" thickBot="1" x14ac:dyDescent="0.35">
      <c r="A175" s="23"/>
      <c r="B175" s="23"/>
      <c r="C175" s="23"/>
      <c r="D175" s="23"/>
      <c r="E175" s="32" t="s">
        <v>350</v>
      </c>
      <c r="F175" s="31" t="s">
        <v>717</v>
      </c>
      <c r="G175" s="31" t="s">
        <v>383</v>
      </c>
      <c r="H175" s="33" t="s">
        <v>501</v>
      </c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ht="29.4" thickBot="1" x14ac:dyDescent="0.35">
      <c r="A176" s="23"/>
      <c r="B176" s="23"/>
      <c r="C176" s="23"/>
      <c r="D176" s="23"/>
      <c r="E176" s="29" t="s">
        <v>535</v>
      </c>
      <c r="F176" s="28" t="s">
        <v>718</v>
      </c>
      <c r="G176" s="28" t="s">
        <v>557</v>
      </c>
      <c r="H176" s="30" t="s">
        <v>481</v>
      </c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ht="29.4" thickBot="1" x14ac:dyDescent="0.35">
      <c r="A177" s="23"/>
      <c r="B177" s="23"/>
      <c r="C177" s="23"/>
      <c r="D177" s="23"/>
      <c r="E177" s="32" t="s">
        <v>624</v>
      </c>
      <c r="F177" s="31" t="s">
        <v>719</v>
      </c>
      <c r="G177" s="31" t="s">
        <v>161</v>
      </c>
      <c r="H177" s="33" t="s">
        <v>678</v>
      </c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ht="29.4" thickBot="1" x14ac:dyDescent="0.35">
      <c r="A178" s="23"/>
      <c r="B178" s="23"/>
      <c r="C178" s="23"/>
      <c r="D178" s="23"/>
      <c r="E178" s="29" t="s">
        <v>720</v>
      </c>
      <c r="F178" s="28" t="s">
        <v>721</v>
      </c>
      <c r="G178" s="28" t="s">
        <v>601</v>
      </c>
      <c r="H178" s="30" t="s">
        <v>384</v>
      </c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ht="43.8" thickBot="1" x14ac:dyDescent="0.35">
      <c r="A179" s="23"/>
      <c r="B179" s="23"/>
      <c r="C179" s="23"/>
      <c r="D179" s="23"/>
      <c r="E179" s="35">
        <v>41467</v>
      </c>
      <c r="F179" s="31" t="s">
        <v>722</v>
      </c>
      <c r="G179" s="31" t="s">
        <v>414</v>
      </c>
      <c r="H179" s="33" t="s">
        <v>723</v>
      </c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ht="29.4" thickBot="1" x14ac:dyDescent="0.35">
      <c r="A180" s="23"/>
      <c r="B180" s="23"/>
      <c r="C180" s="23"/>
      <c r="D180" s="23"/>
      <c r="E180" s="29" t="s">
        <v>333</v>
      </c>
      <c r="F180" s="28" t="s">
        <v>724</v>
      </c>
      <c r="G180" s="28" t="s">
        <v>450</v>
      </c>
      <c r="H180" s="30" t="s">
        <v>725</v>
      </c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ht="43.8" thickBot="1" x14ac:dyDescent="0.35">
      <c r="A181" s="23"/>
      <c r="B181" s="23"/>
      <c r="C181" s="23"/>
      <c r="D181" s="23"/>
      <c r="E181" s="32" t="s">
        <v>726</v>
      </c>
      <c r="F181" s="31" t="s">
        <v>727</v>
      </c>
      <c r="G181" s="31" t="s">
        <v>441</v>
      </c>
      <c r="H181" s="33" t="s">
        <v>674</v>
      </c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ht="29.4" thickBot="1" x14ac:dyDescent="0.35">
      <c r="A182" s="23"/>
      <c r="B182" s="23"/>
      <c r="C182" s="23"/>
      <c r="D182" s="23"/>
      <c r="E182" s="34">
        <v>41924</v>
      </c>
      <c r="F182" s="28" t="s">
        <v>728</v>
      </c>
      <c r="G182" s="28" t="s">
        <v>158</v>
      </c>
      <c r="H182" s="30" t="s">
        <v>368</v>
      </c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ht="29.4" thickBot="1" x14ac:dyDescent="0.35">
      <c r="A183" s="23"/>
      <c r="B183" s="23"/>
      <c r="C183" s="23"/>
      <c r="D183" s="23"/>
      <c r="E183" s="32" t="s">
        <v>729</v>
      </c>
      <c r="F183" s="31" t="s">
        <v>730</v>
      </c>
      <c r="G183" s="31" t="s">
        <v>407</v>
      </c>
      <c r="H183" s="33" t="s">
        <v>572</v>
      </c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ht="29.4" thickBot="1" x14ac:dyDescent="0.35">
      <c r="A184" s="23"/>
      <c r="B184" s="23"/>
      <c r="C184" s="23"/>
      <c r="D184" s="23"/>
      <c r="E184" s="29" t="s">
        <v>393</v>
      </c>
      <c r="F184" s="28" t="s">
        <v>731</v>
      </c>
      <c r="G184" s="28" t="s">
        <v>513</v>
      </c>
      <c r="H184" s="30" t="s">
        <v>525</v>
      </c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ht="43.8" thickBot="1" x14ac:dyDescent="0.35">
      <c r="A185" s="23"/>
      <c r="B185" s="23"/>
      <c r="C185" s="23"/>
      <c r="D185" s="23"/>
      <c r="E185" s="35">
        <v>41558</v>
      </c>
      <c r="F185" s="31" t="s">
        <v>732</v>
      </c>
      <c r="G185" s="31" t="s">
        <v>158</v>
      </c>
      <c r="H185" s="33" t="s">
        <v>733</v>
      </c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ht="29.4" thickBot="1" x14ac:dyDescent="0.35">
      <c r="A186" s="23"/>
      <c r="B186" s="23"/>
      <c r="C186" s="23"/>
      <c r="D186" s="23"/>
      <c r="E186" s="29" t="s">
        <v>734</v>
      </c>
      <c r="F186" s="28" t="s">
        <v>735</v>
      </c>
      <c r="G186" s="28" t="s">
        <v>158</v>
      </c>
      <c r="H186" s="30" t="s">
        <v>736</v>
      </c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ht="43.8" thickBot="1" x14ac:dyDescent="0.35">
      <c r="A187" s="23"/>
      <c r="B187" s="23"/>
      <c r="C187" s="23"/>
      <c r="D187" s="23"/>
      <c r="E187" s="35">
        <v>41367</v>
      </c>
      <c r="F187" s="31" t="s">
        <v>737</v>
      </c>
      <c r="G187" s="31" t="s">
        <v>738</v>
      </c>
      <c r="H187" s="33" t="s">
        <v>501</v>
      </c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ht="29.4" thickBot="1" x14ac:dyDescent="0.35">
      <c r="A188" s="23"/>
      <c r="B188" s="23"/>
      <c r="C188" s="23"/>
      <c r="D188" s="23"/>
      <c r="E188" s="29" t="s">
        <v>739</v>
      </c>
      <c r="F188" s="28" t="s">
        <v>740</v>
      </c>
      <c r="G188" s="28" t="s">
        <v>160</v>
      </c>
      <c r="H188" s="30" t="s">
        <v>403</v>
      </c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ht="29.4" thickBot="1" x14ac:dyDescent="0.35">
      <c r="A189" s="23"/>
      <c r="B189" s="23"/>
      <c r="C189" s="23"/>
      <c r="D189" s="23"/>
      <c r="E189" s="35">
        <v>41430</v>
      </c>
      <c r="F189" s="31" t="s">
        <v>741</v>
      </c>
      <c r="G189" s="31" t="s">
        <v>383</v>
      </c>
      <c r="H189" s="33" t="s">
        <v>742</v>
      </c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ht="29.4" thickBot="1" x14ac:dyDescent="0.35">
      <c r="A190" s="23"/>
      <c r="B190" s="23"/>
      <c r="C190" s="23"/>
      <c r="D190" s="23"/>
      <c r="E190" s="34">
        <v>41763</v>
      </c>
      <c r="F190" s="28" t="s">
        <v>743</v>
      </c>
      <c r="G190" s="28" t="s">
        <v>352</v>
      </c>
      <c r="H190" s="30" t="s">
        <v>388</v>
      </c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ht="29.4" thickBot="1" x14ac:dyDescent="0.35">
      <c r="A191" s="23"/>
      <c r="B191" s="23"/>
      <c r="C191" s="23"/>
      <c r="D191" s="23"/>
      <c r="E191" s="35">
        <v>41923</v>
      </c>
      <c r="F191" s="31" t="s">
        <v>744</v>
      </c>
      <c r="G191" s="31" t="s">
        <v>375</v>
      </c>
      <c r="H191" s="33" t="s">
        <v>745</v>
      </c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ht="29.4" thickBot="1" x14ac:dyDescent="0.35">
      <c r="A192" s="23"/>
      <c r="B192" s="23"/>
      <c r="C192" s="23"/>
      <c r="D192" s="23"/>
      <c r="E192" s="29" t="s">
        <v>491</v>
      </c>
      <c r="F192" s="28" t="s">
        <v>746</v>
      </c>
      <c r="G192" s="28" t="s">
        <v>158</v>
      </c>
      <c r="H192" s="30" t="s">
        <v>365</v>
      </c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ht="29.4" thickBot="1" x14ac:dyDescent="0.35">
      <c r="A193" s="23"/>
      <c r="B193" s="23"/>
      <c r="C193" s="23"/>
      <c r="D193" s="23"/>
      <c r="E193" s="35">
        <v>41766</v>
      </c>
      <c r="F193" s="31" t="s">
        <v>747</v>
      </c>
      <c r="G193" s="31" t="s">
        <v>563</v>
      </c>
      <c r="H193" s="33" t="s">
        <v>583</v>
      </c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ht="29.4" thickBot="1" x14ac:dyDescent="0.35">
      <c r="A194" s="23"/>
      <c r="B194" s="23"/>
      <c r="C194" s="23"/>
      <c r="D194" s="23"/>
      <c r="E194" s="29" t="s">
        <v>748</v>
      </c>
      <c r="F194" s="28" t="s">
        <v>749</v>
      </c>
      <c r="G194" s="28" t="s">
        <v>375</v>
      </c>
      <c r="H194" s="30" t="s">
        <v>415</v>
      </c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ht="29.4" thickBot="1" x14ac:dyDescent="0.35">
      <c r="A195" s="23"/>
      <c r="B195" s="23"/>
      <c r="C195" s="23"/>
      <c r="D195" s="23"/>
      <c r="E195" s="35">
        <v>41916</v>
      </c>
      <c r="F195" s="31" t="s">
        <v>750</v>
      </c>
      <c r="G195" s="31" t="s">
        <v>751</v>
      </c>
      <c r="H195" s="33" t="s">
        <v>599</v>
      </c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ht="29.4" thickBot="1" x14ac:dyDescent="0.35">
      <c r="A196" s="23"/>
      <c r="B196" s="23"/>
      <c r="C196" s="23"/>
      <c r="D196" s="23"/>
      <c r="E196" s="29" t="s">
        <v>752</v>
      </c>
      <c r="F196" s="28" t="s">
        <v>753</v>
      </c>
      <c r="G196" s="28" t="s">
        <v>502</v>
      </c>
      <c r="H196" s="30" t="s">
        <v>754</v>
      </c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ht="29.4" thickBot="1" x14ac:dyDescent="0.35">
      <c r="A197" s="23"/>
      <c r="B197" s="23"/>
      <c r="C197" s="23"/>
      <c r="D197" s="23"/>
      <c r="E197" s="35">
        <v>41741</v>
      </c>
      <c r="F197" s="31" t="s">
        <v>755</v>
      </c>
      <c r="G197" s="31" t="s">
        <v>441</v>
      </c>
      <c r="H197" s="33" t="s">
        <v>437</v>
      </c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ht="29.4" thickBot="1" x14ac:dyDescent="0.35">
      <c r="A198" s="23"/>
      <c r="B198" s="23"/>
      <c r="C198" s="23"/>
      <c r="D198" s="23"/>
      <c r="E198" s="29" t="s">
        <v>657</v>
      </c>
      <c r="F198" s="28" t="s">
        <v>756</v>
      </c>
      <c r="G198" s="28" t="s">
        <v>375</v>
      </c>
      <c r="H198" s="30" t="s">
        <v>757</v>
      </c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ht="58.2" thickBot="1" x14ac:dyDescent="0.35">
      <c r="A199" s="23"/>
      <c r="B199" s="23"/>
      <c r="C199" s="23"/>
      <c r="D199" s="23"/>
      <c r="E199" s="35">
        <v>41590</v>
      </c>
      <c r="F199" s="31" t="s">
        <v>758</v>
      </c>
      <c r="G199" s="31" t="s">
        <v>343</v>
      </c>
      <c r="H199" s="33" t="s">
        <v>599</v>
      </c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ht="29.4" thickBot="1" x14ac:dyDescent="0.35">
      <c r="A200" s="23"/>
      <c r="B200" s="23"/>
      <c r="C200" s="23"/>
      <c r="D200" s="23"/>
      <c r="E200" s="34">
        <v>41581</v>
      </c>
      <c r="F200" s="28" t="s">
        <v>759</v>
      </c>
      <c r="G200" s="28" t="s">
        <v>513</v>
      </c>
      <c r="H200" s="30" t="s">
        <v>391</v>
      </c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ht="29.4" thickBot="1" x14ac:dyDescent="0.35">
      <c r="A201" s="23"/>
      <c r="B201" s="23"/>
      <c r="C201" s="23"/>
      <c r="D201" s="23"/>
      <c r="E201" s="32" t="s">
        <v>491</v>
      </c>
      <c r="F201" s="31" t="s">
        <v>760</v>
      </c>
      <c r="G201" s="31" t="s">
        <v>557</v>
      </c>
      <c r="H201" s="33" t="s">
        <v>368</v>
      </c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ht="29.4" thickBot="1" x14ac:dyDescent="0.35">
      <c r="A202" s="23"/>
      <c r="B202" s="23"/>
      <c r="C202" s="23"/>
      <c r="D202" s="23"/>
      <c r="E202" s="29" t="s">
        <v>427</v>
      </c>
      <c r="F202" s="28" t="s">
        <v>761</v>
      </c>
      <c r="G202" s="28" t="s">
        <v>383</v>
      </c>
      <c r="H202" s="30" t="s">
        <v>448</v>
      </c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ht="29.4" thickBot="1" x14ac:dyDescent="0.35">
      <c r="A203" s="23"/>
      <c r="B203" s="23"/>
      <c r="C203" s="23"/>
      <c r="D203" s="23"/>
      <c r="E203" s="35">
        <v>41367</v>
      </c>
      <c r="F203" s="31" t="s">
        <v>762</v>
      </c>
      <c r="G203" s="31" t="s">
        <v>158</v>
      </c>
      <c r="H203" s="33" t="s">
        <v>481</v>
      </c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ht="29.4" thickBot="1" x14ac:dyDescent="0.35">
      <c r="A204" s="23"/>
      <c r="B204" s="23"/>
      <c r="C204" s="23"/>
      <c r="D204" s="23"/>
      <c r="E204" s="29" t="s">
        <v>468</v>
      </c>
      <c r="F204" s="28" t="s">
        <v>763</v>
      </c>
      <c r="G204" s="28" t="s">
        <v>347</v>
      </c>
      <c r="H204" s="30" t="s">
        <v>764</v>
      </c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ht="43.8" thickBot="1" x14ac:dyDescent="0.35">
      <c r="A205" s="23"/>
      <c r="B205" s="23"/>
      <c r="C205" s="23"/>
      <c r="D205" s="23"/>
      <c r="E205" s="35">
        <v>41498</v>
      </c>
      <c r="F205" s="31" t="s">
        <v>765</v>
      </c>
      <c r="G205" s="31" t="s">
        <v>397</v>
      </c>
      <c r="H205" s="33" t="s">
        <v>453</v>
      </c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ht="29.4" thickBot="1" x14ac:dyDescent="0.35">
      <c r="A206" s="23"/>
      <c r="B206" s="23"/>
      <c r="C206" s="23"/>
      <c r="D206" s="23"/>
      <c r="E206" s="34">
        <v>41316</v>
      </c>
      <c r="F206" s="28" t="s">
        <v>766</v>
      </c>
      <c r="G206" s="28" t="s">
        <v>343</v>
      </c>
      <c r="H206" s="30" t="s">
        <v>525</v>
      </c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ht="29.4" thickBot="1" x14ac:dyDescent="0.35">
      <c r="A207" s="23"/>
      <c r="B207" s="23"/>
      <c r="C207" s="23"/>
      <c r="D207" s="23"/>
      <c r="E207" s="32" t="s">
        <v>767</v>
      </c>
      <c r="F207" s="31" t="s">
        <v>768</v>
      </c>
      <c r="G207" s="31" t="s">
        <v>477</v>
      </c>
      <c r="H207" s="33" t="s">
        <v>769</v>
      </c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ht="43.8" thickBot="1" x14ac:dyDescent="0.35">
      <c r="A208" s="23"/>
      <c r="B208" s="23"/>
      <c r="C208" s="23"/>
      <c r="D208" s="23"/>
      <c r="E208" s="34">
        <v>41436</v>
      </c>
      <c r="F208" s="28" t="s">
        <v>770</v>
      </c>
      <c r="G208" s="28" t="s">
        <v>159</v>
      </c>
      <c r="H208" s="30" t="s">
        <v>511</v>
      </c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ht="29.4" thickBot="1" x14ac:dyDescent="0.35">
      <c r="A209" s="23"/>
      <c r="B209" s="23"/>
      <c r="C209" s="23"/>
      <c r="D209" s="23"/>
      <c r="E209" s="32" t="s">
        <v>645</v>
      </c>
      <c r="F209" s="31" t="s">
        <v>771</v>
      </c>
      <c r="G209" s="31" t="s">
        <v>347</v>
      </c>
      <c r="H209" s="33" t="s">
        <v>599</v>
      </c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ht="29.4" thickBot="1" x14ac:dyDescent="0.35">
      <c r="A210" s="23"/>
      <c r="B210" s="23"/>
      <c r="C210" s="23"/>
      <c r="D210" s="23"/>
      <c r="E210" s="29" t="s">
        <v>772</v>
      </c>
      <c r="F210" s="28" t="s">
        <v>773</v>
      </c>
      <c r="G210" s="28" t="s">
        <v>557</v>
      </c>
      <c r="H210" s="30" t="s">
        <v>774</v>
      </c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ht="29.4" thickBot="1" x14ac:dyDescent="0.35">
      <c r="A211" s="23"/>
      <c r="B211" s="23"/>
      <c r="C211" s="23"/>
      <c r="D211" s="23"/>
      <c r="E211" s="35">
        <v>41798</v>
      </c>
      <c r="F211" s="31" t="s">
        <v>775</v>
      </c>
      <c r="G211" s="31" t="s">
        <v>407</v>
      </c>
      <c r="H211" s="33" t="s">
        <v>572</v>
      </c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ht="43.8" thickBot="1" x14ac:dyDescent="0.35">
      <c r="A212" s="23"/>
      <c r="B212" s="23"/>
      <c r="C212" s="23"/>
      <c r="D212" s="23"/>
      <c r="E212" s="29" t="s">
        <v>776</v>
      </c>
      <c r="F212" s="28" t="s">
        <v>777</v>
      </c>
      <c r="G212" s="28" t="s">
        <v>499</v>
      </c>
      <c r="H212" s="30" t="s">
        <v>778</v>
      </c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ht="29.4" thickBot="1" x14ac:dyDescent="0.35">
      <c r="A213" s="23"/>
      <c r="B213" s="23"/>
      <c r="C213" s="23"/>
      <c r="D213" s="23"/>
      <c r="E213" s="32" t="s">
        <v>526</v>
      </c>
      <c r="F213" s="31" t="s">
        <v>779</v>
      </c>
      <c r="G213" s="31" t="s">
        <v>513</v>
      </c>
      <c r="H213" s="33" t="s">
        <v>478</v>
      </c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ht="29.4" thickBot="1" x14ac:dyDescent="0.35">
      <c r="A214" s="23"/>
      <c r="B214" s="23"/>
      <c r="C214" s="23"/>
      <c r="D214" s="23"/>
      <c r="E214" s="29" t="s">
        <v>615</v>
      </c>
      <c r="F214" s="28" t="s">
        <v>780</v>
      </c>
      <c r="G214" s="28" t="s">
        <v>414</v>
      </c>
      <c r="H214" s="30" t="s">
        <v>496</v>
      </c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ht="29.4" thickBot="1" x14ac:dyDescent="0.35">
      <c r="A215" s="23"/>
      <c r="B215" s="23"/>
      <c r="C215" s="23"/>
      <c r="D215" s="23"/>
      <c r="E215" s="32" t="s">
        <v>427</v>
      </c>
      <c r="F215" s="31" t="s">
        <v>781</v>
      </c>
      <c r="G215" s="31" t="s">
        <v>343</v>
      </c>
      <c r="H215" s="33" t="s">
        <v>782</v>
      </c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ht="29.4" thickBot="1" x14ac:dyDescent="0.35">
      <c r="A216" s="23"/>
      <c r="B216" s="23"/>
      <c r="C216" s="23"/>
      <c r="D216" s="23"/>
      <c r="E216" s="29" t="s">
        <v>783</v>
      </c>
      <c r="F216" s="28" t="s">
        <v>784</v>
      </c>
      <c r="G216" s="28" t="s">
        <v>156</v>
      </c>
      <c r="H216" s="30" t="s">
        <v>785</v>
      </c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ht="29.4" thickBot="1" x14ac:dyDescent="0.35">
      <c r="A217" s="23"/>
      <c r="B217" s="23"/>
      <c r="C217" s="23"/>
      <c r="D217" s="23"/>
      <c r="E217" s="32" t="s">
        <v>786</v>
      </c>
      <c r="F217" s="31" t="s">
        <v>787</v>
      </c>
      <c r="G217" s="31" t="s">
        <v>156</v>
      </c>
      <c r="H217" s="33" t="s">
        <v>394</v>
      </c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ht="15" thickBot="1" x14ac:dyDescent="0.35">
      <c r="A218" s="23"/>
      <c r="B218" s="23"/>
      <c r="C218" s="23"/>
      <c r="D218" s="23"/>
      <c r="E218" s="34">
        <v>41619</v>
      </c>
      <c r="F218" s="28" t="s">
        <v>788</v>
      </c>
      <c r="G218" s="28" t="s">
        <v>375</v>
      </c>
      <c r="H218" s="30" t="s">
        <v>608</v>
      </c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ht="29.4" thickBot="1" x14ac:dyDescent="0.35">
      <c r="A219" s="23"/>
      <c r="B219" s="23"/>
      <c r="C219" s="23"/>
      <c r="D219" s="23"/>
      <c r="E219" s="32" t="s">
        <v>789</v>
      </c>
      <c r="F219" s="31" t="s">
        <v>790</v>
      </c>
      <c r="G219" s="31" t="s">
        <v>343</v>
      </c>
      <c r="H219" s="33" t="s">
        <v>791</v>
      </c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ht="29.4" thickBot="1" x14ac:dyDescent="0.35">
      <c r="A220" s="23"/>
      <c r="B220" s="23"/>
      <c r="C220" s="23"/>
      <c r="D220" s="23"/>
      <c r="E220" s="29" t="s">
        <v>504</v>
      </c>
      <c r="F220" s="28" t="s">
        <v>792</v>
      </c>
      <c r="G220" s="28" t="s">
        <v>383</v>
      </c>
      <c r="H220" s="30" t="s">
        <v>793</v>
      </c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ht="29.4" thickBot="1" x14ac:dyDescent="0.35">
      <c r="A221" s="23"/>
      <c r="B221" s="23"/>
      <c r="C221" s="23"/>
      <c r="D221" s="23"/>
      <c r="E221" s="32" t="s">
        <v>794</v>
      </c>
      <c r="F221" s="31" t="s">
        <v>795</v>
      </c>
      <c r="G221" s="31" t="s">
        <v>414</v>
      </c>
      <c r="H221" s="33" t="s">
        <v>363</v>
      </c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ht="29.4" thickBot="1" x14ac:dyDescent="0.35">
      <c r="A222" s="23"/>
      <c r="B222" s="23"/>
      <c r="C222" s="23"/>
      <c r="D222" s="23"/>
      <c r="E222" s="34">
        <v>41650</v>
      </c>
      <c r="F222" s="28" t="s">
        <v>796</v>
      </c>
      <c r="G222" s="28" t="s">
        <v>797</v>
      </c>
      <c r="H222" s="30" t="s">
        <v>798</v>
      </c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 ht="29.4" thickBot="1" x14ac:dyDescent="0.35">
      <c r="A223" s="23"/>
      <c r="B223" s="23"/>
      <c r="C223" s="23"/>
      <c r="D223" s="23"/>
      <c r="E223" s="32" t="s">
        <v>748</v>
      </c>
      <c r="F223" s="31" t="s">
        <v>799</v>
      </c>
      <c r="G223" s="31" t="s">
        <v>502</v>
      </c>
      <c r="H223" s="33" t="s">
        <v>800</v>
      </c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 ht="29.4" thickBot="1" x14ac:dyDescent="0.35">
      <c r="A224" s="23"/>
      <c r="B224" s="23"/>
      <c r="C224" s="23"/>
      <c r="D224" s="23"/>
      <c r="E224" s="34">
        <v>41315</v>
      </c>
      <c r="F224" s="28" t="s">
        <v>801</v>
      </c>
      <c r="G224" s="28" t="s">
        <v>343</v>
      </c>
      <c r="H224" s="30" t="s">
        <v>372</v>
      </c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 ht="43.8" thickBot="1" x14ac:dyDescent="0.35">
      <c r="A225" s="23"/>
      <c r="B225" s="23"/>
      <c r="C225" s="23"/>
      <c r="D225" s="23"/>
      <c r="E225" s="35">
        <v>41308</v>
      </c>
      <c r="F225" s="31" t="s">
        <v>802</v>
      </c>
      <c r="G225" s="31" t="s">
        <v>158</v>
      </c>
      <c r="H225" s="33" t="s">
        <v>594</v>
      </c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 ht="29.4" thickBot="1" x14ac:dyDescent="0.35">
      <c r="A226" s="23"/>
      <c r="B226" s="23"/>
      <c r="C226" s="23"/>
      <c r="D226" s="23"/>
      <c r="E226" s="34">
        <v>41558</v>
      </c>
      <c r="F226" s="28" t="s">
        <v>803</v>
      </c>
      <c r="G226" s="28" t="s">
        <v>804</v>
      </c>
      <c r="H226" s="30" t="s">
        <v>805</v>
      </c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 ht="43.8" thickBot="1" x14ac:dyDescent="0.35">
      <c r="A227" s="23"/>
      <c r="B227" s="23"/>
      <c r="C227" s="23"/>
      <c r="D227" s="23"/>
      <c r="E227" s="35">
        <v>41740</v>
      </c>
      <c r="F227" s="31" t="s">
        <v>806</v>
      </c>
      <c r="G227" s="31" t="s">
        <v>156</v>
      </c>
      <c r="H227" s="33" t="s">
        <v>807</v>
      </c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 ht="29.4" thickBot="1" x14ac:dyDescent="0.35">
      <c r="A228" s="23"/>
      <c r="B228" s="23"/>
      <c r="C228" s="23"/>
      <c r="D228" s="23"/>
      <c r="E228" s="29" t="s">
        <v>615</v>
      </c>
      <c r="F228" s="28" t="s">
        <v>808</v>
      </c>
      <c r="G228" s="28" t="s">
        <v>410</v>
      </c>
      <c r="H228" s="30" t="s">
        <v>368</v>
      </c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 ht="29.4" thickBot="1" x14ac:dyDescent="0.35">
      <c r="A229" s="23"/>
      <c r="B229" s="23"/>
      <c r="C229" s="23"/>
      <c r="D229" s="23"/>
      <c r="E229" s="32" t="s">
        <v>767</v>
      </c>
      <c r="F229" s="31" t="s">
        <v>809</v>
      </c>
      <c r="G229" s="31" t="s">
        <v>161</v>
      </c>
      <c r="H229" s="33" t="s">
        <v>501</v>
      </c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 ht="43.8" thickBot="1" x14ac:dyDescent="0.35">
      <c r="A230" s="23"/>
      <c r="B230" s="23"/>
      <c r="C230" s="23"/>
      <c r="D230" s="23"/>
      <c r="E230" s="29" t="s">
        <v>810</v>
      </c>
      <c r="F230" s="28" t="s">
        <v>811</v>
      </c>
      <c r="G230" s="28" t="s">
        <v>156</v>
      </c>
      <c r="H230" s="30" t="s">
        <v>368</v>
      </c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 ht="29.4" thickBot="1" x14ac:dyDescent="0.35">
      <c r="A231" s="23"/>
      <c r="B231" s="23"/>
      <c r="C231" s="23"/>
      <c r="D231" s="23"/>
      <c r="E231" s="32" t="s">
        <v>535</v>
      </c>
      <c r="F231" s="31" t="s">
        <v>812</v>
      </c>
      <c r="G231" s="31" t="s">
        <v>813</v>
      </c>
      <c r="H231" s="33" t="s">
        <v>481</v>
      </c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 ht="29.4" thickBot="1" x14ac:dyDescent="0.35">
      <c r="A232" s="23"/>
      <c r="B232" s="23"/>
      <c r="C232" s="23"/>
      <c r="D232" s="23"/>
      <c r="E232" s="29" t="s">
        <v>639</v>
      </c>
      <c r="F232" s="28" t="s">
        <v>814</v>
      </c>
      <c r="G232" s="28" t="s">
        <v>519</v>
      </c>
      <c r="H232" s="30" t="s">
        <v>589</v>
      </c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 ht="29.4" thickBot="1" x14ac:dyDescent="0.35">
      <c r="A233" s="23"/>
      <c r="B233" s="23"/>
      <c r="C233" s="23"/>
      <c r="D233" s="23"/>
      <c r="E233" s="32" t="s">
        <v>452</v>
      </c>
      <c r="F233" s="31" t="s">
        <v>815</v>
      </c>
      <c r="G233" s="31" t="s">
        <v>383</v>
      </c>
      <c r="H233" s="33" t="s">
        <v>496</v>
      </c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 ht="29.4" thickBot="1" x14ac:dyDescent="0.35">
      <c r="A234" s="23"/>
      <c r="B234" s="23"/>
      <c r="C234" s="23"/>
      <c r="D234" s="23"/>
      <c r="E234" s="29" t="s">
        <v>471</v>
      </c>
      <c r="F234" s="28" t="s">
        <v>816</v>
      </c>
      <c r="G234" s="28" t="s">
        <v>158</v>
      </c>
      <c r="H234" s="30" t="s">
        <v>501</v>
      </c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 ht="29.4" thickBot="1" x14ac:dyDescent="0.35">
      <c r="A235" s="23"/>
      <c r="B235" s="23"/>
      <c r="C235" s="23"/>
      <c r="D235" s="23"/>
      <c r="E235" s="35">
        <v>41526</v>
      </c>
      <c r="F235" s="31" t="s">
        <v>817</v>
      </c>
      <c r="G235" s="31" t="s">
        <v>414</v>
      </c>
      <c r="H235" s="33" t="s">
        <v>818</v>
      </c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 ht="29.4" thickBot="1" x14ac:dyDescent="0.35">
      <c r="A236" s="23"/>
      <c r="B236" s="23"/>
      <c r="C236" s="23"/>
      <c r="D236" s="23"/>
      <c r="E236" s="29" t="s">
        <v>676</v>
      </c>
      <c r="F236" s="28" t="s">
        <v>819</v>
      </c>
      <c r="G236" s="28" t="s">
        <v>343</v>
      </c>
      <c r="H236" s="30" t="s">
        <v>820</v>
      </c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 ht="29.4" thickBot="1" x14ac:dyDescent="0.35">
      <c r="A237" s="23"/>
      <c r="B237" s="23"/>
      <c r="C237" s="23"/>
      <c r="D237" s="23"/>
      <c r="E237" s="35">
        <v>41761</v>
      </c>
      <c r="F237" s="31" t="s">
        <v>821</v>
      </c>
      <c r="G237" s="31" t="s">
        <v>160</v>
      </c>
      <c r="H237" s="33" t="s">
        <v>544</v>
      </c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 ht="29.4" thickBot="1" x14ac:dyDescent="0.35">
      <c r="A238" s="23"/>
      <c r="B238" s="23"/>
      <c r="C238" s="23"/>
      <c r="D238" s="23"/>
      <c r="E238" s="34">
        <v>41466</v>
      </c>
      <c r="F238" s="28" t="s">
        <v>822</v>
      </c>
      <c r="G238" s="28" t="s">
        <v>343</v>
      </c>
      <c r="H238" s="30" t="s">
        <v>823</v>
      </c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 ht="29.4" thickBot="1" x14ac:dyDescent="0.35">
      <c r="A239" s="23"/>
      <c r="B239" s="23"/>
      <c r="C239" s="23"/>
      <c r="D239" s="23"/>
      <c r="E239" s="35">
        <v>41590</v>
      </c>
      <c r="F239" s="31" t="s">
        <v>824</v>
      </c>
      <c r="G239" s="31" t="s">
        <v>352</v>
      </c>
      <c r="H239" s="33" t="s">
        <v>544</v>
      </c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 ht="29.4" thickBot="1" x14ac:dyDescent="0.35">
      <c r="A240" s="23"/>
      <c r="B240" s="23"/>
      <c r="C240" s="23"/>
      <c r="D240" s="23"/>
      <c r="E240" s="29" t="s">
        <v>825</v>
      </c>
      <c r="F240" s="28" t="s">
        <v>826</v>
      </c>
      <c r="G240" s="28" t="s">
        <v>606</v>
      </c>
      <c r="H240" s="30" t="s">
        <v>714</v>
      </c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 ht="29.4" thickBot="1" x14ac:dyDescent="0.35">
      <c r="A241" s="23"/>
      <c r="B241" s="23"/>
      <c r="C241" s="23"/>
      <c r="D241" s="23"/>
      <c r="E241" s="32" t="s">
        <v>370</v>
      </c>
      <c r="F241" s="31" t="s">
        <v>827</v>
      </c>
      <c r="G241" s="31" t="s">
        <v>343</v>
      </c>
      <c r="H241" s="33" t="s">
        <v>344</v>
      </c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 ht="29.4" thickBot="1" x14ac:dyDescent="0.35">
      <c r="A242" s="23"/>
      <c r="B242" s="23"/>
      <c r="C242" s="23"/>
      <c r="D242" s="23"/>
      <c r="E242" s="34">
        <v>41802</v>
      </c>
      <c r="F242" s="28" t="s">
        <v>828</v>
      </c>
      <c r="G242" s="28" t="s">
        <v>347</v>
      </c>
      <c r="H242" s="30" t="s">
        <v>829</v>
      </c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 ht="29.4" thickBot="1" x14ac:dyDescent="0.35">
      <c r="A243" s="23"/>
      <c r="B243" s="23"/>
      <c r="C243" s="23"/>
      <c r="D243" s="23"/>
      <c r="E243" s="32" t="s">
        <v>462</v>
      </c>
      <c r="F243" s="31" t="s">
        <v>830</v>
      </c>
      <c r="G243" s="31" t="s">
        <v>383</v>
      </c>
      <c r="H243" s="33" t="s">
        <v>503</v>
      </c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 ht="29.4" thickBot="1" x14ac:dyDescent="0.35">
      <c r="A244" s="23"/>
      <c r="B244" s="23"/>
      <c r="C244" s="23"/>
      <c r="D244" s="23"/>
      <c r="E244" s="29" t="s">
        <v>831</v>
      </c>
      <c r="F244" s="28" t="s">
        <v>832</v>
      </c>
      <c r="G244" s="28" t="s">
        <v>429</v>
      </c>
      <c r="H244" s="30" t="s">
        <v>501</v>
      </c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 ht="29.4" thickBot="1" x14ac:dyDescent="0.35">
      <c r="A245" s="23"/>
      <c r="B245" s="23"/>
      <c r="C245" s="23"/>
      <c r="D245" s="23"/>
      <c r="E245" s="32" t="s">
        <v>686</v>
      </c>
      <c r="F245" s="31" t="s">
        <v>833</v>
      </c>
      <c r="G245" s="31" t="s">
        <v>383</v>
      </c>
      <c r="H245" s="33" t="s">
        <v>544</v>
      </c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 ht="29.4" thickBot="1" x14ac:dyDescent="0.35">
      <c r="A246" s="23"/>
      <c r="B246" s="23"/>
      <c r="C246" s="23"/>
      <c r="D246" s="23"/>
      <c r="E246" s="34">
        <v>41437</v>
      </c>
      <c r="F246" s="28" t="s">
        <v>834</v>
      </c>
      <c r="G246" s="28" t="s">
        <v>695</v>
      </c>
      <c r="H246" s="30" t="s">
        <v>800</v>
      </c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 ht="29.4" thickBot="1" x14ac:dyDescent="0.35">
      <c r="A247" s="23"/>
      <c r="B247" s="23"/>
      <c r="C247" s="23"/>
      <c r="D247" s="23"/>
      <c r="E247" s="32" t="s">
        <v>504</v>
      </c>
      <c r="F247" s="31" t="s">
        <v>835</v>
      </c>
      <c r="G247" s="31" t="s">
        <v>441</v>
      </c>
      <c r="H247" s="33" t="s">
        <v>774</v>
      </c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 ht="29.4" thickBot="1" x14ac:dyDescent="0.35">
      <c r="A248" s="23"/>
      <c r="B248" s="23"/>
      <c r="C248" s="23"/>
      <c r="D248" s="23"/>
      <c r="E248" s="29" t="s">
        <v>405</v>
      </c>
      <c r="F248" s="28" t="s">
        <v>836</v>
      </c>
      <c r="G248" s="28" t="s">
        <v>837</v>
      </c>
      <c r="H248" s="30" t="s">
        <v>481</v>
      </c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 ht="29.4" thickBot="1" x14ac:dyDescent="0.35">
      <c r="A249" s="23"/>
      <c r="B249" s="23"/>
      <c r="C249" s="23"/>
      <c r="D249" s="23"/>
      <c r="E249" s="35">
        <v>41915</v>
      </c>
      <c r="F249" s="31" t="s">
        <v>838</v>
      </c>
      <c r="G249" s="31" t="s">
        <v>158</v>
      </c>
      <c r="H249" s="33" t="s">
        <v>597</v>
      </c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 ht="15" thickBot="1" x14ac:dyDescent="0.35">
      <c r="A250" s="23"/>
      <c r="B250" s="23"/>
      <c r="C250" s="23"/>
      <c r="D250" s="23"/>
      <c r="E250" s="34">
        <v>41923</v>
      </c>
      <c r="F250" s="28" t="s">
        <v>839</v>
      </c>
      <c r="G250" s="28" t="s">
        <v>161</v>
      </c>
      <c r="H250" s="30" t="s">
        <v>840</v>
      </c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 ht="29.4" thickBot="1" x14ac:dyDescent="0.35">
      <c r="A251" s="23"/>
      <c r="B251" s="23"/>
      <c r="C251" s="23"/>
      <c r="D251" s="23"/>
      <c r="E251" s="32" t="s">
        <v>748</v>
      </c>
      <c r="F251" s="31" t="s">
        <v>841</v>
      </c>
      <c r="G251" s="31" t="s">
        <v>352</v>
      </c>
      <c r="H251" s="33" t="s">
        <v>495</v>
      </c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 ht="29.4" thickBot="1" x14ac:dyDescent="0.35">
      <c r="A252" s="23"/>
      <c r="B252" s="23"/>
      <c r="C252" s="23"/>
      <c r="D252" s="23"/>
      <c r="E252" s="34">
        <v>41559</v>
      </c>
      <c r="F252" s="28" t="s">
        <v>842</v>
      </c>
      <c r="G252" s="28" t="s">
        <v>519</v>
      </c>
      <c r="H252" s="30" t="s">
        <v>843</v>
      </c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 ht="29.4" thickBot="1" x14ac:dyDescent="0.35">
      <c r="A253" s="23"/>
      <c r="B253" s="23"/>
      <c r="C253" s="23"/>
      <c r="D253" s="23"/>
      <c r="E253" s="35">
        <v>41590</v>
      </c>
      <c r="F253" s="31" t="s">
        <v>844</v>
      </c>
      <c r="G253" s="31" t="s">
        <v>375</v>
      </c>
      <c r="H253" s="33" t="s">
        <v>437</v>
      </c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 ht="29.4" thickBot="1" x14ac:dyDescent="0.35">
      <c r="A254" s="23"/>
      <c r="B254" s="23"/>
      <c r="C254" s="23"/>
      <c r="D254" s="23"/>
      <c r="E254" s="29" t="s">
        <v>845</v>
      </c>
      <c r="F254" s="28" t="s">
        <v>846</v>
      </c>
      <c r="G254" s="28" t="s">
        <v>158</v>
      </c>
      <c r="H254" s="30" t="s">
        <v>384</v>
      </c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 ht="29.4" thickBot="1" x14ac:dyDescent="0.35">
      <c r="A255" s="23"/>
      <c r="B255" s="23"/>
      <c r="C255" s="23"/>
      <c r="D255" s="23"/>
      <c r="E255" s="32" t="s">
        <v>445</v>
      </c>
      <c r="F255" s="31" t="s">
        <v>847</v>
      </c>
      <c r="G255" s="31" t="s">
        <v>441</v>
      </c>
      <c r="H255" s="33" t="s">
        <v>848</v>
      </c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 ht="29.4" thickBot="1" x14ac:dyDescent="0.35">
      <c r="A256" s="23"/>
      <c r="B256" s="23"/>
      <c r="C256" s="23"/>
      <c r="D256" s="23"/>
      <c r="E256" s="34">
        <v>41650</v>
      </c>
      <c r="F256" s="28" t="s">
        <v>849</v>
      </c>
      <c r="G256" s="28" t="s">
        <v>397</v>
      </c>
      <c r="H256" s="30" t="s">
        <v>544</v>
      </c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 ht="29.4" thickBot="1" x14ac:dyDescent="0.35">
      <c r="A257" s="23"/>
      <c r="B257" s="23"/>
      <c r="C257" s="23"/>
      <c r="D257" s="23"/>
      <c r="E257" s="35">
        <v>41395</v>
      </c>
      <c r="F257" s="31" t="s">
        <v>850</v>
      </c>
      <c r="G257" s="31" t="s">
        <v>383</v>
      </c>
      <c r="H257" s="33" t="s">
        <v>703</v>
      </c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 ht="29.4" thickBot="1" x14ac:dyDescent="0.35">
      <c r="A258" s="23"/>
      <c r="B258" s="23"/>
      <c r="C258" s="23"/>
      <c r="D258" s="23"/>
      <c r="E258" s="34">
        <v>41555</v>
      </c>
      <c r="F258" s="28" t="s">
        <v>851</v>
      </c>
      <c r="G258" s="28" t="s">
        <v>410</v>
      </c>
      <c r="H258" s="30" t="s">
        <v>848</v>
      </c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 ht="29.4" thickBot="1" x14ac:dyDescent="0.35">
      <c r="A259" s="23"/>
      <c r="B259" s="23"/>
      <c r="C259" s="23"/>
      <c r="D259" s="23"/>
      <c r="E259" s="32" t="s">
        <v>852</v>
      </c>
      <c r="F259" s="31" t="s">
        <v>853</v>
      </c>
      <c r="G259" s="31" t="s">
        <v>375</v>
      </c>
      <c r="H259" s="33" t="s">
        <v>854</v>
      </c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 ht="29.4" thickBot="1" x14ac:dyDescent="0.35">
      <c r="A260" s="23"/>
      <c r="B260" s="23"/>
      <c r="C260" s="23"/>
      <c r="D260" s="23"/>
      <c r="E260" s="29" t="s">
        <v>462</v>
      </c>
      <c r="F260" s="28" t="s">
        <v>855</v>
      </c>
      <c r="G260" s="28" t="s">
        <v>424</v>
      </c>
      <c r="H260" s="30" t="s">
        <v>856</v>
      </c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 ht="43.8" thickBot="1" x14ac:dyDescent="0.35">
      <c r="A261" s="23"/>
      <c r="B261" s="23"/>
      <c r="C261" s="23"/>
      <c r="D261" s="23"/>
      <c r="E261" s="32" t="s">
        <v>462</v>
      </c>
      <c r="F261" s="31" t="s">
        <v>857</v>
      </c>
      <c r="G261" s="31" t="s">
        <v>477</v>
      </c>
      <c r="H261" s="33" t="s">
        <v>339</v>
      </c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 ht="58.2" thickBot="1" x14ac:dyDescent="0.35">
      <c r="A262" s="23"/>
      <c r="B262" s="23"/>
      <c r="C262" s="23"/>
      <c r="D262" s="23"/>
      <c r="E262" s="29" t="s">
        <v>621</v>
      </c>
      <c r="F262" s="28" t="s">
        <v>858</v>
      </c>
      <c r="G262" s="28" t="s">
        <v>160</v>
      </c>
      <c r="H262" s="30" t="s">
        <v>529</v>
      </c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 ht="29.4" thickBot="1" x14ac:dyDescent="0.35">
      <c r="A263" s="23"/>
      <c r="B263" s="23"/>
      <c r="C263" s="23"/>
      <c r="D263" s="23"/>
      <c r="E263" s="35">
        <v>41317</v>
      </c>
      <c r="F263" s="31" t="s">
        <v>859</v>
      </c>
      <c r="G263" s="31" t="s">
        <v>375</v>
      </c>
      <c r="H263" s="33" t="s">
        <v>525</v>
      </c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 ht="29.4" thickBot="1" x14ac:dyDescent="0.35">
      <c r="A264" s="23"/>
      <c r="B264" s="23"/>
      <c r="C264" s="23"/>
      <c r="D264" s="23"/>
      <c r="E264" s="34">
        <v>41558</v>
      </c>
      <c r="F264" s="28" t="s">
        <v>860</v>
      </c>
      <c r="G264" s="28" t="s">
        <v>813</v>
      </c>
      <c r="H264" s="30" t="s">
        <v>861</v>
      </c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 ht="29.4" thickBot="1" x14ac:dyDescent="0.35">
      <c r="A265" s="23"/>
      <c r="B265" s="23"/>
      <c r="C265" s="23"/>
      <c r="D265" s="23"/>
      <c r="E265" s="32" t="s">
        <v>578</v>
      </c>
      <c r="F265" s="31" t="s">
        <v>862</v>
      </c>
      <c r="G265" s="31" t="s">
        <v>414</v>
      </c>
      <c r="H265" s="33" t="s">
        <v>400</v>
      </c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 ht="29.4" thickBot="1" x14ac:dyDescent="0.35">
      <c r="A266" s="23"/>
      <c r="B266" s="23"/>
      <c r="C266" s="23"/>
      <c r="D266" s="23"/>
      <c r="E266" s="29" t="s">
        <v>514</v>
      </c>
      <c r="F266" s="28" t="s">
        <v>863</v>
      </c>
      <c r="G266" s="28" t="s">
        <v>343</v>
      </c>
      <c r="H266" s="30" t="s">
        <v>496</v>
      </c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 ht="29.4" thickBot="1" x14ac:dyDescent="0.35">
      <c r="A267" s="23"/>
      <c r="B267" s="23"/>
      <c r="C267" s="23"/>
      <c r="D267" s="23"/>
      <c r="E267" s="32" t="s">
        <v>864</v>
      </c>
      <c r="F267" s="31" t="s">
        <v>865</v>
      </c>
      <c r="G267" s="31" t="s">
        <v>557</v>
      </c>
      <c r="H267" s="33" t="s">
        <v>400</v>
      </c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 ht="29.4" thickBot="1" x14ac:dyDescent="0.35">
      <c r="A268" s="23"/>
      <c r="B268" s="23"/>
      <c r="C268" s="23"/>
      <c r="D268" s="23"/>
      <c r="E268" s="29" t="s">
        <v>542</v>
      </c>
      <c r="F268" s="28" t="s">
        <v>866</v>
      </c>
      <c r="G268" s="28" t="s">
        <v>352</v>
      </c>
      <c r="H268" s="30" t="s">
        <v>501</v>
      </c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 ht="29.4" thickBot="1" x14ac:dyDescent="0.35">
      <c r="A269" s="23"/>
      <c r="B269" s="23"/>
      <c r="C269" s="23"/>
      <c r="D269" s="23"/>
      <c r="E269" s="32" t="s">
        <v>676</v>
      </c>
      <c r="F269" s="31" t="s">
        <v>867</v>
      </c>
      <c r="G269" s="31" t="s">
        <v>797</v>
      </c>
      <c r="H269" s="33" t="s">
        <v>868</v>
      </c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 ht="29.4" thickBot="1" x14ac:dyDescent="0.35">
      <c r="A270" s="23"/>
      <c r="B270" s="23"/>
      <c r="C270" s="23"/>
      <c r="D270" s="23"/>
      <c r="E270" s="29" t="s">
        <v>615</v>
      </c>
      <c r="F270" s="28" t="s">
        <v>869</v>
      </c>
      <c r="G270" s="28" t="s">
        <v>499</v>
      </c>
      <c r="H270" s="30" t="s">
        <v>481</v>
      </c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spans="1:26" ht="29.4" thickBot="1" x14ac:dyDescent="0.35">
      <c r="A271" s="23"/>
      <c r="B271" s="23"/>
      <c r="C271" s="23"/>
      <c r="D271" s="23"/>
      <c r="E271" s="32" t="s">
        <v>604</v>
      </c>
      <c r="F271" s="31" t="s">
        <v>870</v>
      </c>
      <c r="G271" s="31" t="s">
        <v>557</v>
      </c>
      <c r="H271" s="33" t="s">
        <v>800</v>
      </c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spans="1:26" ht="29.4" thickBot="1" x14ac:dyDescent="0.35">
      <c r="A272" s="23"/>
      <c r="B272" s="23"/>
      <c r="C272" s="23"/>
      <c r="D272" s="23"/>
      <c r="E272" s="34">
        <v>41681</v>
      </c>
      <c r="F272" s="28" t="s">
        <v>871</v>
      </c>
      <c r="G272" s="28" t="s">
        <v>557</v>
      </c>
      <c r="H272" s="30" t="s">
        <v>589</v>
      </c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spans="1:26" ht="43.8" thickBot="1" x14ac:dyDescent="0.35">
      <c r="A273" s="23"/>
      <c r="B273" s="23"/>
      <c r="C273" s="23"/>
      <c r="D273" s="23"/>
      <c r="E273" s="32" t="s">
        <v>872</v>
      </c>
      <c r="F273" s="31" t="s">
        <v>873</v>
      </c>
      <c r="G273" s="31" t="s">
        <v>419</v>
      </c>
      <c r="H273" s="33" t="s">
        <v>339</v>
      </c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spans="1:26" ht="29.4" thickBot="1" x14ac:dyDescent="0.35">
      <c r="A274" s="23"/>
      <c r="B274" s="23"/>
      <c r="C274" s="23"/>
      <c r="D274" s="23"/>
      <c r="E274" s="34">
        <v>41862</v>
      </c>
      <c r="F274" s="28" t="s">
        <v>874</v>
      </c>
      <c r="G274" s="28" t="s">
        <v>601</v>
      </c>
      <c r="H274" s="30" t="s">
        <v>544</v>
      </c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spans="1:26" ht="29.4" thickBot="1" x14ac:dyDescent="0.35">
      <c r="A275" s="23"/>
      <c r="B275" s="23"/>
      <c r="C275" s="23"/>
      <c r="D275" s="23"/>
      <c r="E275" s="32" t="s">
        <v>639</v>
      </c>
      <c r="F275" s="31" t="s">
        <v>875</v>
      </c>
      <c r="G275" s="31" t="s">
        <v>513</v>
      </c>
      <c r="H275" s="33" t="s">
        <v>876</v>
      </c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spans="1:26" ht="29.4" thickBot="1" x14ac:dyDescent="0.35">
      <c r="A276" s="23"/>
      <c r="B276" s="23"/>
      <c r="C276" s="23"/>
      <c r="D276" s="23"/>
      <c r="E276" s="29" t="s">
        <v>405</v>
      </c>
      <c r="F276" s="28" t="s">
        <v>877</v>
      </c>
      <c r="G276" s="28" t="s">
        <v>156</v>
      </c>
      <c r="H276" s="30" t="s">
        <v>878</v>
      </c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spans="1:26" ht="29.4" thickBot="1" x14ac:dyDescent="0.35">
      <c r="A277" s="23"/>
      <c r="B277" s="23"/>
      <c r="C277" s="23"/>
      <c r="D277" s="23"/>
      <c r="E277" s="32" t="s">
        <v>615</v>
      </c>
      <c r="F277" s="31" t="s">
        <v>879</v>
      </c>
      <c r="G277" s="31" t="s">
        <v>410</v>
      </c>
      <c r="H277" s="33" t="s">
        <v>880</v>
      </c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spans="1:26" ht="43.8" thickBot="1" x14ac:dyDescent="0.35">
      <c r="A278" s="23"/>
      <c r="B278" s="23"/>
      <c r="C278" s="23"/>
      <c r="D278" s="23"/>
      <c r="E278" s="29" t="s">
        <v>748</v>
      </c>
      <c r="F278" s="28" t="s">
        <v>881</v>
      </c>
      <c r="G278" s="28" t="s">
        <v>557</v>
      </c>
      <c r="H278" s="30" t="s">
        <v>534</v>
      </c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spans="1:26" ht="29.4" thickBot="1" x14ac:dyDescent="0.35">
      <c r="A279" s="23"/>
      <c r="B279" s="23"/>
      <c r="C279" s="23"/>
      <c r="D279" s="23"/>
      <c r="E279" s="32" t="s">
        <v>872</v>
      </c>
      <c r="F279" s="31" t="s">
        <v>882</v>
      </c>
      <c r="G279" s="31" t="s">
        <v>447</v>
      </c>
      <c r="H279" s="33" t="s">
        <v>443</v>
      </c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spans="1:26" ht="43.8" thickBot="1" x14ac:dyDescent="0.35">
      <c r="A280" s="23"/>
      <c r="B280" s="23"/>
      <c r="C280" s="23"/>
      <c r="D280" s="23"/>
      <c r="E280" s="29" t="s">
        <v>542</v>
      </c>
      <c r="F280" s="28" t="s">
        <v>883</v>
      </c>
      <c r="G280" s="28" t="s">
        <v>159</v>
      </c>
      <c r="H280" s="30" t="s">
        <v>521</v>
      </c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spans="1:26" ht="43.8" thickBot="1" x14ac:dyDescent="0.35">
      <c r="A281" s="23"/>
      <c r="B281" s="23"/>
      <c r="C281" s="23"/>
      <c r="D281" s="23"/>
      <c r="E281" s="32" t="s">
        <v>527</v>
      </c>
      <c r="F281" s="31" t="s">
        <v>884</v>
      </c>
      <c r="G281" s="31" t="s">
        <v>397</v>
      </c>
      <c r="H281" s="33" t="s">
        <v>885</v>
      </c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spans="1:26" ht="29.4" thickBot="1" x14ac:dyDescent="0.35">
      <c r="A282" s="23"/>
      <c r="B282" s="23"/>
      <c r="C282" s="23"/>
      <c r="D282" s="23"/>
      <c r="E282" s="29" t="s">
        <v>427</v>
      </c>
      <c r="F282" s="28" t="s">
        <v>886</v>
      </c>
      <c r="G282" s="28" t="s">
        <v>330</v>
      </c>
      <c r="H282" s="30" t="s">
        <v>534</v>
      </c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spans="1:26" ht="29.4" thickBot="1" x14ac:dyDescent="0.35">
      <c r="A283" s="23"/>
      <c r="B283" s="23"/>
      <c r="C283" s="23"/>
      <c r="D283" s="23"/>
      <c r="E283" s="35">
        <v>41682</v>
      </c>
      <c r="F283" s="31" t="s">
        <v>887</v>
      </c>
      <c r="G283" s="31" t="s">
        <v>159</v>
      </c>
      <c r="H283" s="33" t="s">
        <v>400</v>
      </c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spans="1:26" ht="43.8" thickBot="1" x14ac:dyDescent="0.35">
      <c r="A284" s="23"/>
      <c r="B284" s="23"/>
      <c r="C284" s="23"/>
      <c r="D284" s="23"/>
      <c r="E284" s="34">
        <v>41650</v>
      </c>
      <c r="F284" s="28" t="s">
        <v>888</v>
      </c>
      <c r="G284" s="28" t="s">
        <v>158</v>
      </c>
      <c r="H284" s="30" t="s">
        <v>501</v>
      </c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spans="1:26" ht="29.4" thickBot="1" x14ac:dyDescent="0.35">
      <c r="A285" s="23"/>
      <c r="B285" s="23"/>
      <c r="C285" s="23"/>
      <c r="D285" s="23"/>
      <c r="E285" s="32" t="s">
        <v>889</v>
      </c>
      <c r="F285" s="31" t="s">
        <v>890</v>
      </c>
      <c r="G285" s="31" t="s">
        <v>158</v>
      </c>
      <c r="H285" s="33" t="s">
        <v>891</v>
      </c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spans="1:26" ht="29.4" thickBot="1" x14ac:dyDescent="0.35">
      <c r="A286" s="23"/>
      <c r="B286" s="23"/>
      <c r="C286" s="23"/>
      <c r="D286" s="23"/>
      <c r="E286" s="29" t="s">
        <v>350</v>
      </c>
      <c r="F286" s="28" t="s">
        <v>892</v>
      </c>
      <c r="G286" s="28" t="s">
        <v>159</v>
      </c>
      <c r="H286" s="30" t="s">
        <v>415</v>
      </c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spans="1:26" ht="29.4" thickBot="1" x14ac:dyDescent="0.35">
      <c r="A287" s="23"/>
      <c r="B287" s="23"/>
      <c r="C287" s="23"/>
      <c r="D287" s="23"/>
      <c r="E287" s="35">
        <v>41984</v>
      </c>
      <c r="F287" s="31" t="s">
        <v>893</v>
      </c>
      <c r="G287" s="31" t="s">
        <v>634</v>
      </c>
      <c r="H287" s="33" t="s">
        <v>448</v>
      </c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spans="1:26" ht="43.8" thickBot="1" x14ac:dyDescent="0.35">
      <c r="A288" s="23"/>
      <c r="B288" s="23"/>
      <c r="C288" s="23"/>
      <c r="D288" s="23"/>
      <c r="E288" s="34">
        <v>41985</v>
      </c>
      <c r="F288" s="28" t="s">
        <v>894</v>
      </c>
      <c r="G288" s="28" t="s">
        <v>751</v>
      </c>
      <c r="H288" s="30" t="s">
        <v>555</v>
      </c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spans="1:26" ht="29.4" thickBot="1" x14ac:dyDescent="0.35">
      <c r="A289" s="23"/>
      <c r="B289" s="23"/>
      <c r="C289" s="23"/>
      <c r="D289" s="23"/>
      <c r="E289" s="35">
        <v>41466</v>
      </c>
      <c r="F289" s="31" t="s">
        <v>895</v>
      </c>
      <c r="G289" s="31" t="s">
        <v>375</v>
      </c>
      <c r="H289" s="33" t="s">
        <v>363</v>
      </c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spans="1:26" ht="29.4" thickBot="1" x14ac:dyDescent="0.35">
      <c r="A290" s="23"/>
      <c r="B290" s="23"/>
      <c r="C290" s="23"/>
      <c r="D290" s="23"/>
      <c r="E290" s="29" t="s">
        <v>514</v>
      </c>
      <c r="F290" s="28" t="s">
        <v>896</v>
      </c>
      <c r="G290" s="28" t="s">
        <v>158</v>
      </c>
      <c r="H290" s="30" t="s">
        <v>495</v>
      </c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spans="1:26" ht="29.4" thickBot="1" x14ac:dyDescent="0.35">
      <c r="A291" s="23"/>
      <c r="B291" s="23"/>
      <c r="C291" s="23"/>
      <c r="D291" s="23"/>
      <c r="E291" s="32" t="s">
        <v>748</v>
      </c>
      <c r="F291" s="31" t="s">
        <v>897</v>
      </c>
      <c r="G291" s="31" t="s">
        <v>695</v>
      </c>
      <c r="H291" s="33" t="s">
        <v>564</v>
      </c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spans="1:26" ht="43.8" thickBot="1" x14ac:dyDescent="0.35">
      <c r="A292" s="23"/>
      <c r="B292" s="23"/>
      <c r="C292" s="23"/>
      <c r="D292" s="23"/>
      <c r="E292" s="34">
        <v>41954</v>
      </c>
      <c r="F292" s="28" t="s">
        <v>898</v>
      </c>
      <c r="G292" s="28" t="s">
        <v>343</v>
      </c>
      <c r="H292" s="30" t="s">
        <v>415</v>
      </c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spans="1:26" ht="43.8" thickBot="1" x14ac:dyDescent="0.35">
      <c r="A293" s="23"/>
      <c r="B293" s="23"/>
      <c r="C293" s="23"/>
      <c r="D293" s="23"/>
      <c r="E293" s="32" t="s">
        <v>899</v>
      </c>
      <c r="F293" s="31" t="s">
        <v>900</v>
      </c>
      <c r="G293" s="31" t="s">
        <v>499</v>
      </c>
      <c r="H293" s="33" t="s">
        <v>379</v>
      </c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spans="1:26" ht="43.8" thickBot="1" x14ac:dyDescent="0.35">
      <c r="A294" s="23"/>
      <c r="B294" s="23"/>
      <c r="C294" s="23"/>
      <c r="D294" s="23"/>
      <c r="E294" s="34">
        <v>41490</v>
      </c>
      <c r="F294" s="28" t="s">
        <v>901</v>
      </c>
      <c r="G294" s="28" t="s">
        <v>383</v>
      </c>
      <c r="H294" s="30" t="s">
        <v>495</v>
      </c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spans="1:26" ht="29.4" thickBot="1" x14ac:dyDescent="0.35">
      <c r="A295" s="23"/>
      <c r="B295" s="23"/>
      <c r="C295" s="23"/>
      <c r="D295" s="23"/>
      <c r="E295" s="32" t="s">
        <v>902</v>
      </c>
      <c r="F295" s="31" t="s">
        <v>903</v>
      </c>
      <c r="G295" s="31" t="s">
        <v>161</v>
      </c>
      <c r="H295" s="33" t="s">
        <v>425</v>
      </c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spans="1:26" ht="29.4" thickBot="1" x14ac:dyDescent="0.35">
      <c r="A296" s="23"/>
      <c r="B296" s="23"/>
      <c r="C296" s="23"/>
      <c r="D296" s="23"/>
      <c r="E296" s="34">
        <v>41373</v>
      </c>
      <c r="F296" s="28" t="s">
        <v>904</v>
      </c>
      <c r="G296" s="28" t="s">
        <v>338</v>
      </c>
      <c r="H296" s="30" t="s">
        <v>905</v>
      </c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spans="1:26" ht="29.4" thickBot="1" x14ac:dyDescent="0.35">
      <c r="A297" s="23"/>
      <c r="B297" s="23"/>
      <c r="C297" s="23"/>
      <c r="D297" s="23"/>
      <c r="E297" s="32" t="s">
        <v>624</v>
      </c>
      <c r="F297" s="31" t="s">
        <v>906</v>
      </c>
      <c r="G297" s="31" t="s">
        <v>156</v>
      </c>
      <c r="H297" s="33" t="s">
        <v>463</v>
      </c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spans="1:26" ht="43.8" thickBot="1" x14ac:dyDescent="0.35">
      <c r="A298" s="23"/>
      <c r="B298" s="23"/>
      <c r="C298" s="23"/>
      <c r="D298" s="23"/>
      <c r="E298" s="29" t="s">
        <v>350</v>
      </c>
      <c r="F298" s="28" t="s">
        <v>907</v>
      </c>
      <c r="G298" s="28" t="s">
        <v>513</v>
      </c>
      <c r="H298" s="30" t="s">
        <v>908</v>
      </c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spans="1:26" ht="58.2" thickBot="1" x14ac:dyDescent="0.35">
      <c r="A299" s="23"/>
      <c r="B299" s="23"/>
      <c r="C299" s="23"/>
      <c r="D299" s="23"/>
      <c r="E299" s="32" t="s">
        <v>909</v>
      </c>
      <c r="F299" s="31" t="s">
        <v>910</v>
      </c>
      <c r="G299" s="31" t="s">
        <v>911</v>
      </c>
      <c r="H299" s="33" t="s">
        <v>495</v>
      </c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spans="1:26" ht="29.4" thickBot="1" x14ac:dyDescent="0.35">
      <c r="A300" s="23"/>
      <c r="B300" s="23"/>
      <c r="C300" s="23"/>
      <c r="D300" s="23"/>
      <c r="E300" s="34">
        <v>41344</v>
      </c>
      <c r="F300" s="28" t="s">
        <v>912</v>
      </c>
      <c r="G300" s="28" t="s">
        <v>158</v>
      </c>
      <c r="H300" s="30" t="s">
        <v>913</v>
      </c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spans="1:26" ht="29.4" thickBot="1" x14ac:dyDescent="0.35">
      <c r="A301" s="23"/>
      <c r="B301" s="23"/>
      <c r="C301" s="23"/>
      <c r="D301" s="23"/>
      <c r="E301" s="32" t="s">
        <v>914</v>
      </c>
      <c r="F301" s="31" t="s">
        <v>915</v>
      </c>
      <c r="G301" s="31" t="s">
        <v>158</v>
      </c>
      <c r="H301" s="33" t="s">
        <v>425</v>
      </c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spans="1:26" ht="29.4" thickBot="1" x14ac:dyDescent="0.35">
      <c r="A302" s="23"/>
      <c r="B302" s="23"/>
      <c r="C302" s="23"/>
      <c r="D302" s="23"/>
      <c r="E302" s="29" t="s">
        <v>476</v>
      </c>
      <c r="F302" s="28" t="s">
        <v>916</v>
      </c>
      <c r="G302" s="28" t="s">
        <v>352</v>
      </c>
      <c r="H302" s="30" t="s">
        <v>917</v>
      </c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spans="1:26" ht="29.4" thickBot="1" x14ac:dyDescent="0.35">
      <c r="A303" s="23"/>
      <c r="B303" s="23"/>
      <c r="C303" s="23"/>
      <c r="D303" s="23"/>
      <c r="E303" s="32" t="s">
        <v>457</v>
      </c>
      <c r="F303" s="31" t="s">
        <v>918</v>
      </c>
      <c r="G303" s="31" t="s">
        <v>563</v>
      </c>
      <c r="H303" s="33" t="s">
        <v>905</v>
      </c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spans="1:26" ht="29.4" thickBot="1" x14ac:dyDescent="0.35">
      <c r="A304" s="23"/>
      <c r="B304" s="23"/>
      <c r="C304" s="23"/>
      <c r="D304" s="23"/>
      <c r="E304" s="29" t="s">
        <v>919</v>
      </c>
      <c r="F304" s="28" t="s">
        <v>920</v>
      </c>
      <c r="G304" s="28" t="s">
        <v>414</v>
      </c>
      <c r="H304" s="30" t="s">
        <v>516</v>
      </c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spans="1:26" ht="29.4" thickBot="1" x14ac:dyDescent="0.35">
      <c r="A305" s="23"/>
      <c r="B305" s="23"/>
      <c r="C305" s="23"/>
      <c r="D305" s="23"/>
      <c r="E305" s="32" t="s">
        <v>527</v>
      </c>
      <c r="F305" s="31" t="s">
        <v>921</v>
      </c>
      <c r="G305" s="31" t="s">
        <v>156</v>
      </c>
      <c r="H305" s="33" t="s">
        <v>495</v>
      </c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spans="1:26" ht="29.4" thickBot="1" x14ac:dyDescent="0.35">
      <c r="A306" s="23"/>
      <c r="B306" s="23"/>
      <c r="C306" s="23"/>
      <c r="D306" s="23"/>
      <c r="E306" s="34">
        <v>41771</v>
      </c>
      <c r="F306" s="28" t="s">
        <v>922</v>
      </c>
      <c r="G306" s="28" t="s">
        <v>157</v>
      </c>
      <c r="H306" s="30" t="s">
        <v>388</v>
      </c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spans="1:26" ht="29.4" thickBot="1" x14ac:dyDescent="0.35">
      <c r="A307" s="23"/>
      <c r="B307" s="23"/>
      <c r="C307" s="23"/>
      <c r="D307" s="23"/>
      <c r="E307" s="32" t="s">
        <v>405</v>
      </c>
      <c r="F307" s="31" t="s">
        <v>923</v>
      </c>
      <c r="G307" s="31" t="s">
        <v>375</v>
      </c>
      <c r="H307" s="33" t="s">
        <v>496</v>
      </c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spans="1:26" ht="29.4" thickBot="1" x14ac:dyDescent="0.35">
      <c r="A308" s="23"/>
      <c r="B308" s="23"/>
      <c r="C308" s="23"/>
      <c r="D308" s="23"/>
      <c r="E308" s="29" t="s">
        <v>624</v>
      </c>
      <c r="F308" s="28" t="s">
        <v>924</v>
      </c>
      <c r="G308" s="28" t="s">
        <v>441</v>
      </c>
      <c r="H308" s="30" t="s">
        <v>925</v>
      </c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spans="1:26" ht="29.4" thickBot="1" x14ac:dyDescent="0.35">
      <c r="A309" s="23"/>
      <c r="B309" s="23"/>
      <c r="C309" s="23"/>
      <c r="D309" s="23"/>
      <c r="E309" s="32" t="s">
        <v>926</v>
      </c>
      <c r="F309" s="31" t="s">
        <v>927</v>
      </c>
      <c r="G309" s="31" t="s">
        <v>156</v>
      </c>
      <c r="H309" s="33" t="s">
        <v>463</v>
      </c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spans="1:26" ht="43.8" thickBot="1" x14ac:dyDescent="0.35">
      <c r="A310" s="23"/>
      <c r="B310" s="23"/>
      <c r="C310" s="23"/>
      <c r="D310" s="23"/>
      <c r="E310" s="29" t="s">
        <v>926</v>
      </c>
      <c r="F310" s="28" t="s">
        <v>928</v>
      </c>
      <c r="G310" s="28" t="s">
        <v>347</v>
      </c>
      <c r="H310" s="30" t="s">
        <v>400</v>
      </c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spans="1:26" ht="29.4" thickBot="1" x14ac:dyDescent="0.35">
      <c r="A311" s="23"/>
      <c r="B311" s="23"/>
      <c r="C311" s="23"/>
      <c r="D311" s="23"/>
      <c r="E311" s="35">
        <v>41802</v>
      </c>
      <c r="F311" s="31" t="s">
        <v>929</v>
      </c>
      <c r="G311" s="31" t="s">
        <v>161</v>
      </c>
      <c r="H311" s="33" t="s">
        <v>473</v>
      </c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spans="1:26" ht="29.4" thickBot="1" x14ac:dyDescent="0.35">
      <c r="A312" s="23"/>
      <c r="B312" s="23"/>
      <c r="C312" s="23"/>
      <c r="D312" s="23"/>
      <c r="E312" s="29" t="s">
        <v>578</v>
      </c>
      <c r="F312" s="28" t="s">
        <v>930</v>
      </c>
      <c r="G312" s="28" t="s">
        <v>931</v>
      </c>
      <c r="H312" s="30" t="s">
        <v>544</v>
      </c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spans="1:26" ht="43.8" thickBot="1" x14ac:dyDescent="0.35">
      <c r="A313" s="23"/>
      <c r="B313" s="23"/>
      <c r="C313" s="23"/>
      <c r="D313" s="23"/>
      <c r="E313" s="32" t="s">
        <v>550</v>
      </c>
      <c r="F313" s="31" t="s">
        <v>932</v>
      </c>
      <c r="G313" s="31" t="s">
        <v>414</v>
      </c>
      <c r="H313" s="33" t="s">
        <v>905</v>
      </c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spans="1:26" ht="43.8" thickBot="1" x14ac:dyDescent="0.35">
      <c r="A314" s="23"/>
      <c r="B314" s="23"/>
      <c r="C314" s="23"/>
      <c r="D314" s="23"/>
      <c r="E314" s="29" t="s">
        <v>852</v>
      </c>
      <c r="F314" s="28" t="s">
        <v>933</v>
      </c>
      <c r="G314" s="28" t="s">
        <v>931</v>
      </c>
      <c r="H314" s="30" t="s">
        <v>495</v>
      </c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spans="1:26" ht="29.4" thickBot="1" x14ac:dyDescent="0.35">
      <c r="A315" s="23"/>
      <c r="B315" s="23"/>
      <c r="C315" s="23"/>
      <c r="D315" s="23"/>
      <c r="E315" s="32" t="s">
        <v>514</v>
      </c>
      <c r="F315" s="31" t="s">
        <v>934</v>
      </c>
      <c r="G315" s="31" t="s">
        <v>343</v>
      </c>
      <c r="H315" s="33" t="s">
        <v>363</v>
      </c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spans="1:26" ht="29.4" thickBot="1" x14ac:dyDescent="0.35">
      <c r="A316" s="23"/>
      <c r="B316" s="23"/>
      <c r="C316" s="23"/>
      <c r="D316" s="23"/>
      <c r="E316" s="34">
        <v>41430</v>
      </c>
      <c r="F316" s="28" t="s">
        <v>935</v>
      </c>
      <c r="G316" s="28" t="s">
        <v>606</v>
      </c>
      <c r="H316" s="30" t="s">
        <v>379</v>
      </c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spans="1:26" ht="43.8" thickBot="1" x14ac:dyDescent="0.35">
      <c r="A317" s="23"/>
      <c r="B317" s="23"/>
      <c r="C317" s="23"/>
      <c r="D317" s="23"/>
      <c r="E317" s="32" t="s">
        <v>783</v>
      </c>
      <c r="F317" s="31" t="s">
        <v>936</v>
      </c>
      <c r="G317" s="31" t="s">
        <v>937</v>
      </c>
      <c r="H317" s="33" t="s">
        <v>384</v>
      </c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spans="1:26" ht="43.8" thickBot="1" x14ac:dyDescent="0.35">
      <c r="A318" s="23"/>
      <c r="B318" s="23"/>
      <c r="C318" s="23"/>
      <c r="D318" s="23"/>
      <c r="E318" s="29" t="s">
        <v>831</v>
      </c>
      <c r="F318" s="28" t="s">
        <v>938</v>
      </c>
      <c r="G318" s="28" t="s">
        <v>499</v>
      </c>
      <c r="H318" s="30" t="s">
        <v>939</v>
      </c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spans="1:26" ht="29.4" thickBot="1" x14ac:dyDescent="0.35">
      <c r="A319" s="23"/>
      <c r="B319" s="23"/>
      <c r="C319" s="23"/>
      <c r="D319" s="23"/>
      <c r="E319" s="32" t="s">
        <v>504</v>
      </c>
      <c r="F319" s="31" t="s">
        <v>940</v>
      </c>
      <c r="G319" s="31" t="s">
        <v>410</v>
      </c>
      <c r="H319" s="33" t="s">
        <v>415</v>
      </c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spans="1:26" ht="29.4" thickBot="1" x14ac:dyDescent="0.35">
      <c r="A320" s="23"/>
      <c r="B320" s="23"/>
      <c r="C320" s="23"/>
      <c r="D320" s="23"/>
      <c r="E320" s="29" t="s">
        <v>550</v>
      </c>
      <c r="F320" s="28" t="s">
        <v>941</v>
      </c>
      <c r="G320" s="28" t="s">
        <v>160</v>
      </c>
      <c r="H320" s="30" t="s">
        <v>942</v>
      </c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spans="1:26" ht="43.8" thickBot="1" x14ac:dyDescent="0.35">
      <c r="A321" s="23"/>
      <c r="B321" s="23"/>
      <c r="C321" s="23"/>
      <c r="D321" s="23"/>
      <c r="E321" s="35">
        <v>41285</v>
      </c>
      <c r="F321" s="31" t="s">
        <v>943</v>
      </c>
      <c r="G321" s="31" t="s">
        <v>429</v>
      </c>
      <c r="H321" s="33" t="s">
        <v>448</v>
      </c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spans="1:26" ht="29.4" thickBot="1" x14ac:dyDescent="0.35">
      <c r="A322" s="23"/>
      <c r="B322" s="23"/>
      <c r="C322" s="23"/>
      <c r="D322" s="23"/>
      <c r="E322" s="29" t="s">
        <v>468</v>
      </c>
      <c r="F322" s="28" t="s">
        <v>944</v>
      </c>
      <c r="G322" s="28" t="s">
        <v>945</v>
      </c>
      <c r="H322" s="30" t="s">
        <v>408</v>
      </c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spans="1:26" ht="29.4" thickBot="1" x14ac:dyDescent="0.35">
      <c r="A323" s="23"/>
      <c r="B323" s="23"/>
      <c r="C323" s="23"/>
      <c r="D323" s="23"/>
      <c r="E323" s="35">
        <v>41701</v>
      </c>
      <c r="F323" s="31" t="s">
        <v>946</v>
      </c>
      <c r="G323" s="31" t="s">
        <v>557</v>
      </c>
      <c r="H323" s="33" t="s">
        <v>594</v>
      </c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spans="1:26" ht="29.4" thickBot="1" x14ac:dyDescent="0.35">
      <c r="A324" s="23"/>
      <c r="B324" s="23"/>
      <c r="C324" s="23"/>
      <c r="D324" s="23"/>
      <c r="E324" s="29" t="s">
        <v>627</v>
      </c>
      <c r="F324" s="28" t="s">
        <v>947</v>
      </c>
      <c r="G324" s="28" t="s">
        <v>410</v>
      </c>
      <c r="H324" s="30" t="s">
        <v>473</v>
      </c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spans="1:26" ht="29.4" thickBot="1" x14ac:dyDescent="0.35">
      <c r="A325" s="23"/>
      <c r="B325" s="23"/>
      <c r="C325" s="23"/>
      <c r="D325" s="23"/>
      <c r="E325" s="32" t="s">
        <v>498</v>
      </c>
      <c r="F325" s="31" t="s">
        <v>948</v>
      </c>
      <c r="G325" s="31" t="s">
        <v>352</v>
      </c>
      <c r="H325" s="33" t="s">
        <v>403</v>
      </c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spans="1:26" ht="29.4" thickBot="1" x14ac:dyDescent="0.35">
      <c r="A326" s="23"/>
      <c r="B326" s="23"/>
      <c r="C326" s="23"/>
      <c r="D326" s="23"/>
      <c r="E326" s="29" t="s">
        <v>686</v>
      </c>
      <c r="F326" s="28" t="s">
        <v>949</v>
      </c>
      <c r="G326" s="28" t="s">
        <v>375</v>
      </c>
      <c r="H326" s="30" t="s">
        <v>714</v>
      </c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spans="1:26" ht="29.4" thickBot="1" x14ac:dyDescent="0.35">
      <c r="A327" s="23"/>
      <c r="B327" s="23"/>
      <c r="C327" s="23"/>
      <c r="D327" s="23"/>
      <c r="E327" s="32" t="s">
        <v>542</v>
      </c>
      <c r="F327" s="31" t="s">
        <v>950</v>
      </c>
      <c r="G327" s="31" t="s">
        <v>931</v>
      </c>
      <c r="H327" s="33" t="s">
        <v>951</v>
      </c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spans="1:26" ht="29.4" thickBot="1" x14ac:dyDescent="0.35">
      <c r="A328" s="23"/>
      <c r="B328" s="23"/>
      <c r="C328" s="23"/>
      <c r="D328" s="23"/>
      <c r="E328" s="34">
        <v>41832</v>
      </c>
      <c r="F328" s="28" t="s">
        <v>952</v>
      </c>
      <c r="G328" s="28" t="s">
        <v>441</v>
      </c>
      <c r="H328" s="30" t="s">
        <v>608</v>
      </c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spans="1:26" ht="29.4" thickBot="1" x14ac:dyDescent="0.35">
      <c r="A329" s="23"/>
      <c r="B329" s="23"/>
      <c r="C329" s="23"/>
      <c r="D329" s="23"/>
      <c r="E329" s="32" t="s">
        <v>686</v>
      </c>
      <c r="F329" s="31" t="s">
        <v>953</v>
      </c>
      <c r="G329" s="31" t="s">
        <v>695</v>
      </c>
      <c r="H329" s="33" t="s">
        <v>443</v>
      </c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spans="1:26" ht="29.4" thickBot="1" x14ac:dyDescent="0.35">
      <c r="A330" s="23"/>
      <c r="B330" s="23"/>
      <c r="C330" s="23"/>
      <c r="D330" s="23"/>
      <c r="E330" s="34">
        <v>41590</v>
      </c>
      <c r="F330" s="28" t="s">
        <v>954</v>
      </c>
      <c r="G330" s="28" t="s">
        <v>429</v>
      </c>
      <c r="H330" s="30" t="s">
        <v>955</v>
      </c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spans="1:26" ht="29.4" thickBot="1" x14ac:dyDescent="0.35">
      <c r="A331" s="23"/>
      <c r="B331" s="23"/>
      <c r="C331" s="23"/>
      <c r="D331" s="23"/>
      <c r="E331" s="35">
        <v>41770</v>
      </c>
      <c r="F331" s="31" t="s">
        <v>956</v>
      </c>
      <c r="G331" s="31" t="s">
        <v>158</v>
      </c>
      <c r="H331" s="33" t="s">
        <v>957</v>
      </c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spans="1:26" ht="29.4" thickBot="1" x14ac:dyDescent="0.35">
      <c r="A332" s="23"/>
      <c r="B332" s="23"/>
      <c r="C332" s="23"/>
      <c r="D332" s="23"/>
      <c r="E332" s="34">
        <v>41590</v>
      </c>
      <c r="F332" s="28" t="s">
        <v>958</v>
      </c>
      <c r="G332" s="28" t="s">
        <v>343</v>
      </c>
      <c r="H332" s="30" t="s">
        <v>495</v>
      </c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spans="1:26" ht="29.4" thickBot="1" x14ac:dyDescent="0.35">
      <c r="A333" s="23"/>
      <c r="B333" s="23"/>
      <c r="C333" s="23"/>
      <c r="D333" s="23"/>
      <c r="E333" s="32" t="s">
        <v>959</v>
      </c>
      <c r="F333" s="31" t="s">
        <v>960</v>
      </c>
      <c r="G333" s="31" t="s">
        <v>160</v>
      </c>
      <c r="H333" s="33" t="s">
        <v>754</v>
      </c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spans="1:26" ht="29.4" thickBot="1" x14ac:dyDescent="0.35">
      <c r="A334" s="23"/>
      <c r="B334" s="23"/>
      <c r="C334" s="23"/>
      <c r="D334" s="23"/>
      <c r="E334" s="34">
        <v>41802</v>
      </c>
      <c r="F334" s="28" t="s">
        <v>961</v>
      </c>
      <c r="G334" s="28" t="s">
        <v>157</v>
      </c>
      <c r="H334" s="30" t="s">
        <v>496</v>
      </c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spans="1:26" ht="29.4" thickBot="1" x14ac:dyDescent="0.35">
      <c r="A335" s="23"/>
      <c r="B335" s="23"/>
      <c r="C335" s="23"/>
      <c r="D335" s="23"/>
      <c r="E335" s="32" t="s">
        <v>615</v>
      </c>
      <c r="F335" s="31" t="s">
        <v>962</v>
      </c>
      <c r="G335" s="31" t="s">
        <v>352</v>
      </c>
      <c r="H335" s="33" t="s">
        <v>856</v>
      </c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spans="1:26" ht="29.4" thickBot="1" x14ac:dyDescent="0.35">
      <c r="A336" s="23"/>
      <c r="B336" s="23"/>
      <c r="C336" s="23"/>
      <c r="D336" s="23"/>
      <c r="E336" s="34">
        <v>41831</v>
      </c>
      <c r="F336" s="28" t="s">
        <v>963</v>
      </c>
      <c r="G336" s="28" t="s">
        <v>466</v>
      </c>
      <c r="H336" s="30" t="s">
        <v>964</v>
      </c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spans="1:26" ht="29.4" thickBot="1" x14ac:dyDescent="0.35">
      <c r="A337" s="23"/>
      <c r="B337" s="23"/>
      <c r="C337" s="23"/>
      <c r="D337" s="23"/>
      <c r="E337" s="35">
        <v>41709</v>
      </c>
      <c r="F337" s="31" t="s">
        <v>965</v>
      </c>
      <c r="G337" s="31" t="s">
        <v>352</v>
      </c>
      <c r="H337" s="33" t="s">
        <v>966</v>
      </c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spans="1:26" ht="29.4" thickBot="1" x14ac:dyDescent="0.35">
      <c r="A338" s="23"/>
      <c r="B338" s="23"/>
      <c r="C338" s="23"/>
      <c r="D338" s="23"/>
      <c r="E338" s="34">
        <v>41375</v>
      </c>
      <c r="F338" s="28" t="s">
        <v>967</v>
      </c>
      <c r="G338" s="28" t="s">
        <v>410</v>
      </c>
      <c r="H338" s="30" t="s">
        <v>481</v>
      </c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spans="1:26" ht="29.4" thickBot="1" x14ac:dyDescent="0.35">
      <c r="A339" s="23"/>
      <c r="B339" s="23"/>
      <c r="C339" s="23"/>
      <c r="D339" s="23"/>
      <c r="E339" s="32" t="s">
        <v>682</v>
      </c>
      <c r="F339" s="31" t="s">
        <v>968</v>
      </c>
      <c r="G339" s="31" t="s">
        <v>347</v>
      </c>
      <c r="H339" s="33" t="s">
        <v>969</v>
      </c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spans="1:26" ht="29.4" thickBot="1" x14ac:dyDescent="0.35">
      <c r="A340" s="23"/>
      <c r="B340" s="23"/>
      <c r="C340" s="23"/>
      <c r="D340" s="23"/>
      <c r="E340" s="34">
        <v>41651</v>
      </c>
      <c r="F340" s="28" t="s">
        <v>970</v>
      </c>
      <c r="G340" s="28" t="s">
        <v>352</v>
      </c>
      <c r="H340" s="30" t="s">
        <v>678</v>
      </c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spans="1:26" ht="29.4" thickBot="1" x14ac:dyDescent="0.35">
      <c r="A341" s="23"/>
      <c r="B341" s="23"/>
      <c r="C341" s="23"/>
      <c r="D341" s="23"/>
      <c r="E341" s="35">
        <v>41920</v>
      </c>
      <c r="F341" s="31" t="s">
        <v>971</v>
      </c>
      <c r="G341" s="31" t="s">
        <v>519</v>
      </c>
      <c r="H341" s="33" t="s">
        <v>534</v>
      </c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spans="1:26" ht="43.8" thickBot="1" x14ac:dyDescent="0.35">
      <c r="A342" s="23"/>
      <c r="B342" s="23"/>
      <c r="C342" s="23"/>
      <c r="D342" s="23"/>
      <c r="E342" s="29" t="s">
        <v>333</v>
      </c>
      <c r="F342" s="28" t="s">
        <v>972</v>
      </c>
      <c r="G342" s="28" t="s">
        <v>450</v>
      </c>
      <c r="H342" s="30" t="s">
        <v>335</v>
      </c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spans="1:26" ht="29.4" thickBot="1" x14ac:dyDescent="0.35">
      <c r="A343" s="23"/>
      <c r="B343" s="23"/>
      <c r="C343" s="23"/>
      <c r="D343" s="23"/>
      <c r="E343" s="35">
        <v>41831</v>
      </c>
      <c r="F343" s="31" t="s">
        <v>973</v>
      </c>
      <c r="G343" s="31" t="s">
        <v>407</v>
      </c>
      <c r="H343" s="33" t="s">
        <v>974</v>
      </c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spans="1:26" ht="29.4" thickBot="1" x14ac:dyDescent="0.35">
      <c r="A344" s="23"/>
      <c r="B344" s="23"/>
      <c r="C344" s="23"/>
      <c r="D344" s="23"/>
      <c r="E344" s="34">
        <v>41529</v>
      </c>
      <c r="F344" s="28" t="s">
        <v>975</v>
      </c>
      <c r="G344" s="28" t="s">
        <v>499</v>
      </c>
      <c r="H344" s="30" t="s">
        <v>495</v>
      </c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spans="1:26" ht="29.4" thickBot="1" x14ac:dyDescent="0.35">
      <c r="A345" s="23"/>
      <c r="B345" s="23"/>
      <c r="C345" s="23"/>
      <c r="D345" s="23"/>
      <c r="E345" s="32" t="s">
        <v>976</v>
      </c>
      <c r="F345" s="31" t="s">
        <v>977</v>
      </c>
      <c r="G345" s="31" t="s">
        <v>499</v>
      </c>
      <c r="H345" s="33" t="s">
        <v>678</v>
      </c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spans="1:26" ht="43.8" thickBot="1" x14ac:dyDescent="0.35">
      <c r="A346" s="23"/>
      <c r="B346" s="23"/>
      <c r="C346" s="23"/>
      <c r="D346" s="23"/>
      <c r="E346" s="29" t="s">
        <v>739</v>
      </c>
      <c r="F346" s="28" t="s">
        <v>978</v>
      </c>
      <c r="G346" s="28" t="s">
        <v>375</v>
      </c>
      <c r="H346" s="30" t="s">
        <v>979</v>
      </c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spans="1:26" ht="29.4" thickBot="1" x14ac:dyDescent="0.35">
      <c r="A347" s="23"/>
      <c r="B347" s="23"/>
      <c r="C347" s="23"/>
      <c r="D347" s="23"/>
      <c r="E347" s="35">
        <v>41863</v>
      </c>
      <c r="F347" s="31" t="s">
        <v>980</v>
      </c>
      <c r="G347" s="31" t="s">
        <v>441</v>
      </c>
      <c r="H347" s="33" t="s">
        <v>793</v>
      </c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spans="1:26" ht="29.4" thickBot="1" x14ac:dyDescent="0.35">
      <c r="A348" s="23"/>
      <c r="B348" s="23"/>
      <c r="C348" s="23"/>
      <c r="D348" s="23"/>
      <c r="E348" s="29" t="s">
        <v>872</v>
      </c>
      <c r="F348" s="28" t="s">
        <v>981</v>
      </c>
      <c r="G348" s="28" t="s">
        <v>161</v>
      </c>
      <c r="H348" s="30" t="s">
        <v>448</v>
      </c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spans="1:26" ht="29.4" thickBot="1" x14ac:dyDescent="0.35">
      <c r="A349" s="23"/>
      <c r="B349" s="23"/>
      <c r="C349" s="23"/>
      <c r="D349" s="23"/>
      <c r="E349" s="35">
        <v>41855</v>
      </c>
      <c r="F349" s="31" t="s">
        <v>982</v>
      </c>
      <c r="G349" s="31" t="s">
        <v>158</v>
      </c>
      <c r="H349" s="33" t="s">
        <v>495</v>
      </c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spans="1:26" ht="29.4" thickBot="1" x14ac:dyDescent="0.35">
      <c r="A350" s="23"/>
      <c r="B350" s="23"/>
      <c r="C350" s="23"/>
      <c r="D350" s="23"/>
      <c r="E350" s="34">
        <v>41802</v>
      </c>
      <c r="F350" s="28" t="s">
        <v>983</v>
      </c>
      <c r="G350" s="28" t="s">
        <v>397</v>
      </c>
      <c r="H350" s="30" t="s">
        <v>984</v>
      </c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spans="1:26" ht="29.4" thickBot="1" x14ac:dyDescent="0.35">
      <c r="A351" s="23"/>
      <c r="B351" s="23"/>
      <c r="C351" s="23"/>
      <c r="D351" s="23"/>
      <c r="E351" s="32" t="s">
        <v>422</v>
      </c>
      <c r="F351" s="31" t="s">
        <v>985</v>
      </c>
      <c r="G351" s="31" t="s">
        <v>375</v>
      </c>
      <c r="H351" s="33" t="s">
        <v>785</v>
      </c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spans="1:26" ht="29.4" thickBot="1" x14ac:dyDescent="0.35">
      <c r="A352" s="23"/>
      <c r="B352" s="23"/>
      <c r="C352" s="23"/>
      <c r="D352" s="23"/>
      <c r="E352" s="29" t="s">
        <v>986</v>
      </c>
      <c r="F352" s="28" t="s">
        <v>987</v>
      </c>
      <c r="G352" s="28" t="s">
        <v>447</v>
      </c>
      <c r="H352" s="30" t="s">
        <v>495</v>
      </c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spans="1:26" ht="29.4" thickBot="1" x14ac:dyDescent="0.35">
      <c r="A353" s="23"/>
      <c r="B353" s="23"/>
      <c r="C353" s="23"/>
      <c r="D353" s="23"/>
      <c r="E353" s="35">
        <v>41801</v>
      </c>
      <c r="F353" s="31" t="s">
        <v>988</v>
      </c>
      <c r="G353" s="31" t="s">
        <v>158</v>
      </c>
      <c r="H353" s="33" t="s">
        <v>925</v>
      </c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spans="1:26" ht="29.4" thickBot="1" x14ac:dyDescent="0.35">
      <c r="A354" s="23"/>
      <c r="B354" s="23"/>
      <c r="C354" s="23"/>
      <c r="D354" s="23"/>
      <c r="E354" s="34">
        <v>41862</v>
      </c>
      <c r="F354" s="28" t="s">
        <v>989</v>
      </c>
      <c r="G354" s="28" t="s">
        <v>161</v>
      </c>
      <c r="H354" s="30" t="s">
        <v>348</v>
      </c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spans="1:26" ht="29.4" thickBot="1" x14ac:dyDescent="0.35">
      <c r="A355" s="23"/>
      <c r="B355" s="23"/>
      <c r="C355" s="23"/>
      <c r="D355" s="23"/>
      <c r="E355" s="32" t="s">
        <v>831</v>
      </c>
      <c r="F355" s="31" t="s">
        <v>990</v>
      </c>
      <c r="G355" s="31" t="s">
        <v>156</v>
      </c>
      <c r="H355" s="33" t="s">
        <v>521</v>
      </c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spans="1:26" ht="29.4" thickBot="1" x14ac:dyDescent="0.35">
      <c r="A356" s="23"/>
      <c r="B356" s="23"/>
      <c r="C356" s="23"/>
      <c r="D356" s="23"/>
      <c r="E356" s="34">
        <v>41893</v>
      </c>
      <c r="F356" s="28" t="s">
        <v>991</v>
      </c>
      <c r="G356" s="28" t="s">
        <v>441</v>
      </c>
      <c r="H356" s="30" t="s">
        <v>463</v>
      </c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spans="1:26" ht="29.4" thickBot="1" x14ac:dyDescent="0.35">
      <c r="A357" s="23"/>
      <c r="B357" s="23"/>
      <c r="C357" s="23"/>
      <c r="D357" s="23"/>
      <c r="E357" s="35">
        <v>41345</v>
      </c>
      <c r="F357" s="31" t="s">
        <v>992</v>
      </c>
      <c r="G357" s="31" t="s">
        <v>410</v>
      </c>
      <c r="H357" s="33" t="s">
        <v>437</v>
      </c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spans="1:26" ht="29.4" thickBot="1" x14ac:dyDescent="0.35">
      <c r="A358" s="23"/>
      <c r="B358" s="23"/>
      <c r="C358" s="23"/>
      <c r="D358" s="23"/>
      <c r="E358" s="34">
        <v>41740</v>
      </c>
      <c r="F358" s="28" t="s">
        <v>993</v>
      </c>
      <c r="G358" s="28" t="s">
        <v>158</v>
      </c>
      <c r="H358" s="30" t="s">
        <v>408</v>
      </c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spans="1:26" ht="29.4" thickBot="1" x14ac:dyDescent="0.35">
      <c r="A359" s="23"/>
      <c r="B359" s="23"/>
      <c r="C359" s="23"/>
      <c r="D359" s="23"/>
      <c r="E359" s="32" t="s">
        <v>457</v>
      </c>
      <c r="F359" s="31" t="s">
        <v>994</v>
      </c>
      <c r="G359" s="31" t="s">
        <v>158</v>
      </c>
      <c r="H359" s="33" t="s">
        <v>995</v>
      </c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spans="1:26" ht="29.4" thickBot="1" x14ac:dyDescent="0.35">
      <c r="A360" s="23"/>
      <c r="B360" s="23"/>
      <c r="C360" s="23"/>
      <c r="D360" s="23"/>
      <c r="E360" s="29" t="s">
        <v>996</v>
      </c>
      <c r="F360" s="28" t="s">
        <v>997</v>
      </c>
      <c r="G360" s="28" t="s">
        <v>447</v>
      </c>
      <c r="H360" s="30" t="s">
        <v>572</v>
      </c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spans="1:26" ht="29.4" thickBot="1" x14ac:dyDescent="0.35">
      <c r="A361" s="23"/>
      <c r="B361" s="23"/>
      <c r="C361" s="23"/>
      <c r="D361" s="23"/>
      <c r="E361" s="35">
        <v>41316</v>
      </c>
      <c r="F361" s="31" t="s">
        <v>998</v>
      </c>
      <c r="G361" s="31" t="s">
        <v>429</v>
      </c>
      <c r="H361" s="33" t="s">
        <v>437</v>
      </c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spans="1:26" ht="29.4" thickBot="1" x14ac:dyDescent="0.35">
      <c r="A362" s="23"/>
      <c r="B362" s="23"/>
      <c r="C362" s="23"/>
      <c r="D362" s="23"/>
      <c r="E362" s="34">
        <v>41771</v>
      </c>
      <c r="F362" s="28" t="s">
        <v>999</v>
      </c>
      <c r="G362" s="28" t="s">
        <v>375</v>
      </c>
      <c r="H362" s="30" t="s">
        <v>1000</v>
      </c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spans="1:26" ht="29.4" thickBot="1" x14ac:dyDescent="0.35">
      <c r="A363" s="23"/>
      <c r="B363" s="23"/>
      <c r="C363" s="23"/>
      <c r="D363" s="23"/>
      <c r="E363" s="32" t="s">
        <v>786</v>
      </c>
      <c r="F363" s="31" t="s">
        <v>1001</v>
      </c>
      <c r="G363" s="31" t="s">
        <v>343</v>
      </c>
      <c r="H363" s="33" t="s">
        <v>359</v>
      </c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spans="1:26" ht="29.4" thickBot="1" x14ac:dyDescent="0.35">
      <c r="A364" s="23"/>
      <c r="B364" s="23"/>
      <c r="C364" s="23"/>
      <c r="D364" s="23"/>
      <c r="E364" s="29" t="s">
        <v>734</v>
      </c>
      <c r="F364" s="28" t="s">
        <v>1002</v>
      </c>
      <c r="G364" s="28" t="s">
        <v>383</v>
      </c>
      <c r="H364" s="30" t="s">
        <v>678</v>
      </c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spans="1:26" ht="29.4" thickBot="1" x14ac:dyDescent="0.35">
      <c r="A365" s="23"/>
      <c r="B365" s="23"/>
      <c r="C365" s="23"/>
      <c r="D365" s="23"/>
      <c r="E365" s="35">
        <v>41673</v>
      </c>
      <c r="F365" s="31" t="s">
        <v>1003</v>
      </c>
      <c r="G365" s="31" t="s">
        <v>156</v>
      </c>
      <c r="H365" s="33" t="s">
        <v>501</v>
      </c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spans="1:26" ht="15" thickBot="1" x14ac:dyDescent="0.35">
      <c r="A366" s="23"/>
      <c r="B366" s="23"/>
      <c r="C366" s="23"/>
      <c r="D366" s="23"/>
      <c r="E366" s="29" t="s">
        <v>445</v>
      </c>
      <c r="F366" s="28" t="s">
        <v>1004</v>
      </c>
      <c r="G366" s="28" t="s">
        <v>563</v>
      </c>
      <c r="H366" s="30" t="s">
        <v>363</v>
      </c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spans="1:26" ht="43.8" thickBot="1" x14ac:dyDescent="0.35">
      <c r="A367" s="23"/>
      <c r="B367" s="23"/>
      <c r="C367" s="23"/>
      <c r="D367" s="23"/>
      <c r="E367" s="32" t="s">
        <v>524</v>
      </c>
      <c r="F367" s="31" t="s">
        <v>1005</v>
      </c>
      <c r="G367" s="31" t="s">
        <v>383</v>
      </c>
      <c r="H367" s="33" t="s">
        <v>665</v>
      </c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spans="1:26" ht="29.4" thickBot="1" x14ac:dyDescent="0.35">
      <c r="A368" s="23"/>
      <c r="B368" s="23"/>
      <c r="C368" s="23"/>
      <c r="D368" s="23"/>
      <c r="E368" s="34">
        <v>41497</v>
      </c>
      <c r="F368" s="28" t="s">
        <v>1006</v>
      </c>
      <c r="G368" s="28" t="s">
        <v>347</v>
      </c>
      <c r="H368" s="30" t="s">
        <v>463</v>
      </c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spans="1:26" ht="29.4" thickBot="1" x14ac:dyDescent="0.35">
      <c r="A369" s="23"/>
      <c r="B369" s="23"/>
      <c r="C369" s="23"/>
      <c r="D369" s="23"/>
      <c r="E369" s="32" t="s">
        <v>350</v>
      </c>
      <c r="F369" s="31" t="s">
        <v>1007</v>
      </c>
      <c r="G369" s="31" t="s">
        <v>606</v>
      </c>
      <c r="H369" s="33" t="s">
        <v>876</v>
      </c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spans="1:26" ht="29.4" thickBot="1" x14ac:dyDescent="0.35">
      <c r="A370" s="23"/>
      <c r="B370" s="23"/>
      <c r="C370" s="23"/>
      <c r="D370" s="23"/>
      <c r="E370" s="29" t="s">
        <v>704</v>
      </c>
      <c r="F370" s="28" t="s">
        <v>1008</v>
      </c>
      <c r="G370" s="28" t="s">
        <v>563</v>
      </c>
      <c r="H370" s="30" t="s">
        <v>384</v>
      </c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spans="1:26" ht="29.4" thickBot="1" x14ac:dyDescent="0.35">
      <c r="A371" s="23"/>
      <c r="B371" s="23"/>
      <c r="C371" s="23"/>
      <c r="D371" s="23"/>
      <c r="E371" s="35">
        <v>41954</v>
      </c>
      <c r="F371" s="31" t="s">
        <v>1009</v>
      </c>
      <c r="G371" s="31" t="s">
        <v>1010</v>
      </c>
      <c r="H371" s="33" t="s">
        <v>388</v>
      </c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spans="1:26" ht="29.4" thickBot="1" x14ac:dyDescent="0.35">
      <c r="A372" s="23"/>
      <c r="B372" s="23"/>
      <c r="C372" s="23"/>
      <c r="D372" s="23"/>
      <c r="E372" s="29" t="s">
        <v>627</v>
      </c>
      <c r="F372" s="28" t="s">
        <v>1011</v>
      </c>
      <c r="G372" s="28" t="s">
        <v>459</v>
      </c>
      <c r="H372" s="30" t="s">
        <v>391</v>
      </c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spans="1:26" ht="29.4" thickBot="1" x14ac:dyDescent="0.35">
      <c r="A373" s="23"/>
      <c r="B373" s="23"/>
      <c r="C373" s="23"/>
      <c r="D373" s="23"/>
      <c r="E373" s="32" t="s">
        <v>399</v>
      </c>
      <c r="F373" s="31" t="s">
        <v>1012</v>
      </c>
      <c r="G373" s="31" t="s">
        <v>157</v>
      </c>
      <c r="H373" s="33" t="s">
        <v>597</v>
      </c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spans="1:26" ht="43.8" thickBot="1" x14ac:dyDescent="0.35">
      <c r="A374" s="23"/>
      <c r="B374" s="23"/>
      <c r="C374" s="23"/>
      <c r="D374" s="23"/>
      <c r="E374" s="29" t="s">
        <v>527</v>
      </c>
      <c r="F374" s="28" t="s">
        <v>1013</v>
      </c>
      <c r="G374" s="28" t="s">
        <v>158</v>
      </c>
      <c r="H374" s="30" t="s">
        <v>589</v>
      </c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spans="1:26" ht="29.4" thickBot="1" x14ac:dyDescent="0.35">
      <c r="A375" s="23"/>
      <c r="B375" s="23"/>
      <c r="C375" s="23"/>
      <c r="D375" s="23"/>
      <c r="E375" s="32" t="s">
        <v>1014</v>
      </c>
      <c r="F375" s="31" t="s">
        <v>1015</v>
      </c>
      <c r="G375" s="31" t="s">
        <v>441</v>
      </c>
      <c r="H375" s="33" t="s">
        <v>599</v>
      </c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spans="1:26" ht="29.4" thickBot="1" x14ac:dyDescent="0.35">
      <c r="A376" s="23"/>
      <c r="B376" s="23"/>
      <c r="C376" s="23"/>
      <c r="D376" s="23"/>
      <c r="E376" s="34">
        <v>41589</v>
      </c>
      <c r="F376" s="28" t="s">
        <v>1016</v>
      </c>
      <c r="G376" s="28" t="s">
        <v>161</v>
      </c>
      <c r="H376" s="30" t="s">
        <v>496</v>
      </c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spans="1:26" ht="29.4" thickBot="1" x14ac:dyDescent="0.35">
      <c r="A377" s="23"/>
      <c r="B377" s="23"/>
      <c r="C377" s="23"/>
      <c r="D377" s="23"/>
      <c r="E377" s="32" t="s">
        <v>1017</v>
      </c>
      <c r="F377" s="31" t="s">
        <v>1018</v>
      </c>
      <c r="G377" s="31" t="s">
        <v>343</v>
      </c>
      <c r="H377" s="33" t="s">
        <v>925</v>
      </c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spans="1:26" ht="29.4" thickBot="1" x14ac:dyDescent="0.35">
      <c r="A378" s="23"/>
      <c r="B378" s="23"/>
      <c r="C378" s="23"/>
      <c r="D378" s="23"/>
      <c r="E378" s="29" t="s">
        <v>810</v>
      </c>
      <c r="F378" s="28" t="s">
        <v>1019</v>
      </c>
      <c r="G378" s="28" t="s">
        <v>459</v>
      </c>
      <c r="H378" s="30" t="s">
        <v>495</v>
      </c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spans="1:26" ht="43.8" thickBot="1" x14ac:dyDescent="0.35">
      <c r="A379" s="23"/>
      <c r="B379" s="23"/>
      <c r="C379" s="23"/>
      <c r="D379" s="23"/>
      <c r="E379" s="32" t="s">
        <v>498</v>
      </c>
      <c r="F379" s="31" t="s">
        <v>1020</v>
      </c>
      <c r="G379" s="31" t="s">
        <v>158</v>
      </c>
      <c r="H379" s="33" t="s">
        <v>709</v>
      </c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spans="1:26" ht="29.4" thickBot="1" x14ac:dyDescent="0.35">
      <c r="A380" s="23"/>
      <c r="B380" s="23"/>
      <c r="C380" s="23"/>
      <c r="D380" s="23"/>
      <c r="E380" s="29" t="s">
        <v>831</v>
      </c>
      <c r="F380" s="28" t="s">
        <v>1021</v>
      </c>
      <c r="G380" s="28" t="s">
        <v>513</v>
      </c>
      <c r="H380" s="30" t="s">
        <v>714</v>
      </c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spans="1:26" ht="29.4" thickBot="1" x14ac:dyDescent="0.35">
      <c r="A381" s="23"/>
      <c r="B381" s="23"/>
      <c r="C381" s="23"/>
      <c r="D381" s="23"/>
      <c r="E381" s="35">
        <v>41496</v>
      </c>
      <c r="F381" s="31" t="s">
        <v>1022</v>
      </c>
      <c r="G381" s="31" t="s">
        <v>397</v>
      </c>
      <c r="H381" s="33" t="s">
        <v>473</v>
      </c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spans="1:26" ht="29.4" thickBot="1" x14ac:dyDescent="0.35">
      <c r="A382" s="23"/>
      <c r="B382" s="23"/>
      <c r="C382" s="23"/>
      <c r="D382" s="23"/>
      <c r="E382" s="29" t="s">
        <v>1023</v>
      </c>
      <c r="F382" s="28" t="s">
        <v>1024</v>
      </c>
      <c r="G382" s="28" t="s">
        <v>402</v>
      </c>
      <c r="H382" s="30" t="s">
        <v>800</v>
      </c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spans="1:26" ht="29.4" thickBot="1" x14ac:dyDescent="0.35">
      <c r="A383" s="23"/>
      <c r="B383" s="23"/>
      <c r="C383" s="23"/>
      <c r="D383" s="23"/>
      <c r="E383" s="32" t="s">
        <v>899</v>
      </c>
      <c r="F383" s="31" t="s">
        <v>1025</v>
      </c>
      <c r="G383" s="31" t="s">
        <v>466</v>
      </c>
      <c r="H383" s="33" t="s">
        <v>654</v>
      </c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spans="1:26" ht="29.4" thickBot="1" x14ac:dyDescent="0.35">
      <c r="A384" s="23"/>
      <c r="B384" s="23"/>
      <c r="C384" s="23"/>
      <c r="D384" s="23"/>
      <c r="E384" s="29" t="s">
        <v>899</v>
      </c>
      <c r="F384" s="28" t="s">
        <v>1026</v>
      </c>
      <c r="G384" s="28" t="s">
        <v>157</v>
      </c>
      <c r="H384" s="30" t="s">
        <v>1027</v>
      </c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spans="1:26" ht="29.4" thickBot="1" x14ac:dyDescent="0.35">
      <c r="A385" s="23"/>
      <c r="B385" s="23"/>
      <c r="C385" s="23"/>
      <c r="D385" s="23"/>
      <c r="E385" s="35">
        <v>41437</v>
      </c>
      <c r="F385" s="31" t="s">
        <v>1028</v>
      </c>
      <c r="G385" s="31" t="s">
        <v>447</v>
      </c>
      <c r="H385" s="33" t="s">
        <v>473</v>
      </c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spans="1:26" ht="29.4" thickBot="1" x14ac:dyDescent="0.35">
      <c r="A386" s="23"/>
      <c r="B386" s="23"/>
      <c r="C386" s="23"/>
      <c r="D386" s="23"/>
      <c r="E386" s="29" t="s">
        <v>457</v>
      </c>
      <c r="F386" s="28" t="s">
        <v>1029</v>
      </c>
      <c r="G386" s="28" t="s">
        <v>945</v>
      </c>
      <c r="H386" s="30" t="s">
        <v>415</v>
      </c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spans="1:26" ht="29.4" thickBot="1" x14ac:dyDescent="0.35">
      <c r="A387" s="23"/>
      <c r="B387" s="23"/>
      <c r="C387" s="23"/>
      <c r="D387" s="23"/>
      <c r="E387" s="32" t="s">
        <v>524</v>
      </c>
      <c r="F387" s="31" t="s">
        <v>1030</v>
      </c>
      <c r="G387" s="31" t="s">
        <v>160</v>
      </c>
      <c r="H387" s="33" t="s">
        <v>1031</v>
      </c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spans="1:26" ht="29.4" thickBot="1" x14ac:dyDescent="0.35">
      <c r="A388" s="23"/>
      <c r="B388" s="23"/>
      <c r="C388" s="23"/>
      <c r="D388" s="23"/>
      <c r="E388" s="29" t="s">
        <v>535</v>
      </c>
      <c r="F388" s="28" t="s">
        <v>1032</v>
      </c>
      <c r="G388" s="28" t="s">
        <v>157</v>
      </c>
      <c r="H388" s="30" t="s">
        <v>495</v>
      </c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spans="1:26" ht="29.4" thickBot="1" x14ac:dyDescent="0.35">
      <c r="A389" s="23"/>
      <c r="B389" s="23"/>
      <c r="C389" s="23"/>
      <c r="D389" s="23"/>
      <c r="E389" s="35">
        <v>41894</v>
      </c>
      <c r="F389" s="31" t="s">
        <v>1033</v>
      </c>
      <c r="G389" s="31" t="s">
        <v>383</v>
      </c>
      <c r="H389" s="33" t="s">
        <v>467</v>
      </c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spans="1:26" ht="29.4" thickBot="1" x14ac:dyDescent="0.35">
      <c r="A390" s="23"/>
      <c r="B390" s="23"/>
      <c r="C390" s="23"/>
      <c r="D390" s="23"/>
      <c r="E390" s="29" t="s">
        <v>370</v>
      </c>
      <c r="F390" s="28" t="s">
        <v>1034</v>
      </c>
      <c r="G390" s="28" t="s">
        <v>519</v>
      </c>
      <c r="H390" s="30" t="s">
        <v>403</v>
      </c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spans="1:26" ht="43.8" thickBot="1" x14ac:dyDescent="0.35">
      <c r="A391" s="23"/>
      <c r="B391" s="23"/>
      <c r="C391" s="23"/>
      <c r="D391" s="23"/>
      <c r="E391" s="35">
        <v>41821</v>
      </c>
      <c r="F391" s="31" t="s">
        <v>1035</v>
      </c>
      <c r="G391" s="31" t="s">
        <v>375</v>
      </c>
      <c r="H391" s="33" t="s">
        <v>495</v>
      </c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spans="1:26" ht="29.4" thickBot="1" x14ac:dyDescent="0.35">
      <c r="A392" s="23"/>
      <c r="B392" s="23"/>
      <c r="C392" s="23"/>
      <c r="D392" s="23"/>
      <c r="E392" s="29" t="s">
        <v>526</v>
      </c>
      <c r="F392" s="28" t="s">
        <v>1036</v>
      </c>
      <c r="G392" s="28" t="s">
        <v>477</v>
      </c>
      <c r="H392" s="30" t="s">
        <v>448</v>
      </c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spans="1:26" ht="43.8" thickBot="1" x14ac:dyDescent="0.35">
      <c r="A393" s="23"/>
      <c r="B393" s="23"/>
      <c r="C393" s="23"/>
      <c r="D393" s="23"/>
      <c r="E393" s="32" t="s">
        <v>1037</v>
      </c>
      <c r="F393" s="31" t="s">
        <v>1038</v>
      </c>
      <c r="G393" s="31" t="s">
        <v>557</v>
      </c>
      <c r="H393" s="33" t="s">
        <v>567</v>
      </c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spans="1:26" ht="29.4" thickBot="1" x14ac:dyDescent="0.35">
      <c r="A394" s="23"/>
      <c r="B394" s="23"/>
      <c r="C394" s="23"/>
      <c r="D394" s="23"/>
      <c r="E394" s="34">
        <v>41466</v>
      </c>
      <c r="F394" s="28" t="s">
        <v>1039</v>
      </c>
      <c r="G394" s="28" t="s">
        <v>441</v>
      </c>
      <c r="H394" s="30" t="s">
        <v>1040</v>
      </c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spans="1:26" ht="29.4" thickBot="1" x14ac:dyDescent="0.35">
      <c r="A395" s="23"/>
      <c r="B395" s="23"/>
      <c r="C395" s="23"/>
      <c r="D395" s="23"/>
      <c r="E395" s="32" t="s">
        <v>595</v>
      </c>
      <c r="F395" s="31" t="s">
        <v>1041</v>
      </c>
      <c r="G395" s="31" t="s">
        <v>161</v>
      </c>
      <c r="H395" s="33" t="s">
        <v>1042</v>
      </c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spans="1:26" ht="29.4" thickBot="1" x14ac:dyDescent="0.35">
      <c r="A396" s="23"/>
      <c r="B396" s="23"/>
      <c r="C396" s="23"/>
      <c r="D396" s="23"/>
      <c r="E396" s="29" t="s">
        <v>996</v>
      </c>
      <c r="F396" s="28" t="s">
        <v>1043</v>
      </c>
      <c r="G396" s="28" t="s">
        <v>156</v>
      </c>
      <c r="H396" s="30" t="s">
        <v>448</v>
      </c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spans="1:26" ht="29.4" thickBot="1" x14ac:dyDescent="0.35">
      <c r="A397" s="23"/>
      <c r="B397" s="23"/>
      <c r="C397" s="23"/>
      <c r="D397" s="23"/>
      <c r="E397" s="35">
        <v>41558</v>
      </c>
      <c r="F397" s="31" t="s">
        <v>1044</v>
      </c>
      <c r="G397" s="31" t="s">
        <v>347</v>
      </c>
      <c r="H397" s="33" t="s">
        <v>1045</v>
      </c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spans="1:26" ht="58.2" thickBot="1" x14ac:dyDescent="0.35">
      <c r="A398" s="23"/>
      <c r="B398" s="23"/>
      <c r="C398" s="23"/>
      <c r="D398" s="23"/>
      <c r="E398" s="34">
        <v>41955</v>
      </c>
      <c r="F398" s="28" t="s">
        <v>1046</v>
      </c>
      <c r="G398" s="28" t="s">
        <v>601</v>
      </c>
      <c r="H398" s="30" t="s">
        <v>623</v>
      </c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spans="1:26" ht="29.4" thickBot="1" x14ac:dyDescent="0.35">
      <c r="A399" s="23"/>
      <c r="B399" s="23"/>
      <c r="C399" s="23"/>
      <c r="D399" s="23"/>
      <c r="E399" s="35">
        <v>41673</v>
      </c>
      <c r="F399" s="31" t="s">
        <v>1047</v>
      </c>
      <c r="G399" s="31" t="s">
        <v>375</v>
      </c>
      <c r="H399" s="33" t="s">
        <v>1048</v>
      </c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spans="1:26" ht="29.4" thickBot="1" x14ac:dyDescent="0.35">
      <c r="A400" s="23"/>
      <c r="B400" s="23"/>
      <c r="C400" s="23"/>
      <c r="D400" s="23"/>
      <c r="E400" s="34">
        <v>41893</v>
      </c>
      <c r="F400" s="28" t="s">
        <v>1049</v>
      </c>
      <c r="G400" s="28" t="s">
        <v>375</v>
      </c>
      <c r="H400" s="30" t="s">
        <v>437</v>
      </c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spans="1:26" ht="29.4" thickBot="1" x14ac:dyDescent="0.35">
      <c r="A401" s="23"/>
      <c r="B401" s="23"/>
      <c r="C401" s="23"/>
      <c r="D401" s="23"/>
      <c r="E401" s="35">
        <v>41528</v>
      </c>
      <c r="F401" s="31" t="s">
        <v>1050</v>
      </c>
      <c r="G401" s="31" t="s">
        <v>1051</v>
      </c>
      <c r="H401" s="33" t="s">
        <v>488</v>
      </c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spans="1:26" ht="29.4" thickBot="1" x14ac:dyDescent="0.35">
      <c r="A402" s="23"/>
      <c r="B402" s="23"/>
      <c r="C402" s="23"/>
      <c r="D402" s="23"/>
      <c r="E402" s="34">
        <v>41436</v>
      </c>
      <c r="F402" s="28" t="s">
        <v>1052</v>
      </c>
      <c r="G402" s="28" t="s">
        <v>680</v>
      </c>
      <c r="H402" s="30" t="s">
        <v>448</v>
      </c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spans="1:26" ht="29.4" thickBot="1" x14ac:dyDescent="0.35">
      <c r="A403" s="23"/>
      <c r="B403" s="23"/>
      <c r="C403" s="23"/>
      <c r="D403" s="23"/>
      <c r="E403" s="32" t="s">
        <v>1053</v>
      </c>
      <c r="F403" s="31" t="s">
        <v>1054</v>
      </c>
      <c r="G403" s="31" t="s">
        <v>343</v>
      </c>
      <c r="H403" s="33" t="s">
        <v>501</v>
      </c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spans="1:26" ht="29.4" thickBot="1" x14ac:dyDescent="0.35">
      <c r="A404" s="23"/>
      <c r="B404" s="23"/>
      <c r="C404" s="23"/>
      <c r="D404" s="23"/>
      <c r="E404" s="34">
        <v>41710</v>
      </c>
      <c r="F404" s="28" t="s">
        <v>1055</v>
      </c>
      <c r="G404" s="28" t="s">
        <v>557</v>
      </c>
      <c r="H404" s="30" t="s">
        <v>1056</v>
      </c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spans="1:26" ht="29.4" thickBot="1" x14ac:dyDescent="0.35">
      <c r="A405" s="23"/>
      <c r="B405" s="23"/>
      <c r="C405" s="23"/>
      <c r="D405" s="23"/>
      <c r="E405" s="32" t="s">
        <v>1057</v>
      </c>
      <c r="F405" s="31" t="s">
        <v>1058</v>
      </c>
      <c r="G405" s="31" t="s">
        <v>343</v>
      </c>
      <c r="H405" s="33" t="s">
        <v>913</v>
      </c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spans="1:26" ht="43.8" thickBot="1" x14ac:dyDescent="0.35">
      <c r="A406" s="23"/>
      <c r="B406" s="23"/>
      <c r="C406" s="23"/>
      <c r="D406" s="23"/>
      <c r="E406" s="34">
        <v>41675</v>
      </c>
      <c r="F406" s="28" t="s">
        <v>1059</v>
      </c>
      <c r="G406" s="28" t="s">
        <v>343</v>
      </c>
      <c r="H406" s="30" t="s">
        <v>496</v>
      </c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spans="1:26" ht="43.8" thickBot="1" x14ac:dyDescent="0.35">
      <c r="A407" s="23"/>
      <c r="B407" s="23"/>
      <c r="C407" s="23"/>
      <c r="D407" s="23"/>
      <c r="E407" s="35">
        <v>41682</v>
      </c>
      <c r="F407" s="31" t="s">
        <v>1060</v>
      </c>
      <c r="G407" s="31" t="s">
        <v>375</v>
      </c>
      <c r="H407" s="33" t="s">
        <v>1061</v>
      </c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spans="1:26" ht="29.4" thickBot="1" x14ac:dyDescent="0.35">
      <c r="A408" s="23"/>
      <c r="B408" s="23"/>
      <c r="C408" s="23"/>
      <c r="D408" s="23"/>
      <c r="E408" s="34">
        <v>41863</v>
      </c>
      <c r="F408" s="28" t="s">
        <v>1062</v>
      </c>
      <c r="G408" s="28" t="s">
        <v>513</v>
      </c>
      <c r="H408" s="30" t="s">
        <v>379</v>
      </c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spans="1:26" ht="29.4" thickBot="1" x14ac:dyDescent="0.35">
      <c r="A409" s="23"/>
      <c r="B409" s="23"/>
      <c r="C409" s="23"/>
      <c r="D409" s="23"/>
      <c r="E409" s="32" t="s">
        <v>1063</v>
      </c>
      <c r="F409" s="31" t="s">
        <v>1064</v>
      </c>
      <c r="G409" s="31" t="s">
        <v>375</v>
      </c>
      <c r="H409" s="33" t="s">
        <v>1065</v>
      </c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spans="1:26" ht="29.4" thickBot="1" x14ac:dyDescent="0.35">
      <c r="A410" s="23"/>
      <c r="B410" s="23"/>
      <c r="C410" s="23"/>
      <c r="D410" s="23"/>
      <c r="E410" s="29" t="s">
        <v>1066</v>
      </c>
      <c r="F410" s="28" t="s">
        <v>1067</v>
      </c>
      <c r="G410" s="28" t="s">
        <v>343</v>
      </c>
      <c r="H410" s="30" t="s">
        <v>544</v>
      </c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spans="1:26" ht="29.4" thickBot="1" x14ac:dyDescent="0.35">
      <c r="A411" s="23"/>
      <c r="B411" s="23"/>
      <c r="C411" s="23"/>
      <c r="D411" s="23"/>
      <c r="E411" s="32" t="s">
        <v>1068</v>
      </c>
      <c r="F411" s="31" t="s">
        <v>1069</v>
      </c>
      <c r="G411" s="31" t="s">
        <v>410</v>
      </c>
      <c r="H411" s="33" t="s">
        <v>979</v>
      </c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spans="1:26" ht="29.4" thickBot="1" x14ac:dyDescent="0.35">
      <c r="A412" s="23"/>
      <c r="B412" s="23"/>
      <c r="C412" s="23"/>
      <c r="D412" s="23"/>
      <c r="E412" s="29" t="s">
        <v>504</v>
      </c>
      <c r="F412" s="28" t="s">
        <v>1070</v>
      </c>
      <c r="G412" s="28" t="s">
        <v>441</v>
      </c>
      <c r="H412" s="30" t="s">
        <v>1071</v>
      </c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spans="1:26" ht="29.4" thickBot="1" x14ac:dyDescent="0.35">
      <c r="A413" s="23"/>
      <c r="B413" s="23"/>
      <c r="C413" s="23"/>
      <c r="D413" s="23"/>
      <c r="E413" s="32" t="s">
        <v>872</v>
      </c>
      <c r="F413" s="31" t="s">
        <v>1072</v>
      </c>
      <c r="G413" s="31" t="s">
        <v>375</v>
      </c>
      <c r="H413" s="33" t="s">
        <v>662</v>
      </c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spans="1:26" ht="29.4" thickBot="1" x14ac:dyDescent="0.35">
      <c r="A414" s="23"/>
      <c r="B414" s="23"/>
      <c r="C414" s="23"/>
      <c r="D414" s="23"/>
      <c r="E414" s="29" t="s">
        <v>507</v>
      </c>
      <c r="F414" s="28" t="s">
        <v>1073</v>
      </c>
      <c r="G414" s="28" t="s">
        <v>407</v>
      </c>
      <c r="H414" s="30" t="s">
        <v>1074</v>
      </c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spans="1:26" ht="29.4" thickBot="1" x14ac:dyDescent="0.35">
      <c r="A415" s="23"/>
      <c r="B415" s="23"/>
      <c r="C415" s="23"/>
      <c r="D415" s="23"/>
      <c r="E415" s="35">
        <v>41345</v>
      </c>
      <c r="F415" s="31" t="s">
        <v>1075</v>
      </c>
      <c r="G415" s="31" t="s">
        <v>419</v>
      </c>
      <c r="H415" s="33" t="s">
        <v>671</v>
      </c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spans="1:26" ht="29.4" thickBot="1" x14ac:dyDescent="0.35">
      <c r="A416" s="23"/>
      <c r="B416" s="23"/>
      <c r="C416" s="23"/>
      <c r="D416" s="23"/>
      <c r="E416" s="34">
        <v>41558</v>
      </c>
      <c r="F416" s="28" t="s">
        <v>1076</v>
      </c>
      <c r="G416" s="28" t="s">
        <v>375</v>
      </c>
      <c r="H416" s="30" t="s">
        <v>674</v>
      </c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spans="1:26" ht="29.4" thickBot="1" x14ac:dyDescent="0.35">
      <c r="A417" s="23"/>
      <c r="B417" s="23"/>
      <c r="C417" s="23"/>
      <c r="D417" s="23"/>
      <c r="E417" s="32" t="s">
        <v>641</v>
      </c>
      <c r="F417" s="31" t="s">
        <v>1077</v>
      </c>
      <c r="G417" s="31" t="s">
        <v>383</v>
      </c>
      <c r="H417" s="33" t="s">
        <v>678</v>
      </c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spans="1:26" ht="29.4" thickBot="1" x14ac:dyDescent="0.35">
      <c r="A418" s="23"/>
      <c r="B418" s="23"/>
      <c r="C418" s="23"/>
      <c r="D418" s="23"/>
      <c r="E418" s="29" t="s">
        <v>748</v>
      </c>
      <c r="F418" s="28" t="s">
        <v>1078</v>
      </c>
      <c r="G418" s="28" t="s">
        <v>499</v>
      </c>
      <c r="H418" s="30" t="s">
        <v>913</v>
      </c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spans="1:26" ht="29.4" thickBot="1" x14ac:dyDescent="0.35">
      <c r="A419" s="23"/>
      <c r="B419" s="23"/>
      <c r="C419" s="23"/>
      <c r="D419" s="23"/>
      <c r="E419" s="32" t="s">
        <v>504</v>
      </c>
      <c r="F419" s="31" t="s">
        <v>1079</v>
      </c>
      <c r="G419" s="31" t="s">
        <v>343</v>
      </c>
      <c r="H419" s="33" t="s">
        <v>1080</v>
      </c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spans="1:26" ht="29.4" thickBot="1" x14ac:dyDescent="0.35">
      <c r="A420" s="23"/>
      <c r="B420" s="23"/>
      <c r="C420" s="23"/>
      <c r="D420" s="23"/>
      <c r="E420" s="34">
        <v>41464</v>
      </c>
      <c r="F420" s="28" t="s">
        <v>1081</v>
      </c>
      <c r="G420" s="28" t="s">
        <v>441</v>
      </c>
      <c r="H420" s="30" t="s">
        <v>1082</v>
      </c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spans="1:26" ht="29.4" thickBot="1" x14ac:dyDescent="0.35">
      <c r="A421" s="23"/>
      <c r="B421" s="23"/>
      <c r="C421" s="23"/>
      <c r="D421" s="23"/>
      <c r="E421" s="35">
        <v>41463</v>
      </c>
      <c r="F421" s="31" t="s">
        <v>1083</v>
      </c>
      <c r="G421" s="31" t="s">
        <v>410</v>
      </c>
      <c r="H421" s="33" t="s">
        <v>736</v>
      </c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spans="1:26" ht="29.4" thickBot="1" x14ac:dyDescent="0.35">
      <c r="A422" s="23"/>
      <c r="B422" s="23"/>
      <c r="C422" s="23"/>
      <c r="D422" s="23"/>
      <c r="E422" s="29" t="s">
        <v>1084</v>
      </c>
      <c r="F422" s="28" t="s">
        <v>1085</v>
      </c>
      <c r="G422" s="28" t="s">
        <v>157</v>
      </c>
      <c r="H422" s="30" t="s">
        <v>1086</v>
      </c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spans="1:26" ht="29.4" thickBot="1" x14ac:dyDescent="0.35">
      <c r="A423" s="23"/>
      <c r="B423" s="23"/>
      <c r="C423" s="23"/>
      <c r="D423" s="23"/>
      <c r="E423" s="35">
        <v>41771</v>
      </c>
      <c r="F423" s="31" t="s">
        <v>1087</v>
      </c>
      <c r="G423" s="31" t="s">
        <v>158</v>
      </c>
      <c r="H423" s="33" t="s">
        <v>463</v>
      </c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spans="1:26" ht="29.4" thickBot="1" x14ac:dyDescent="0.35">
      <c r="A424" s="23"/>
      <c r="B424" s="23"/>
      <c r="C424" s="23"/>
      <c r="D424" s="23"/>
      <c r="E424" s="29" t="s">
        <v>1088</v>
      </c>
      <c r="F424" s="28" t="s">
        <v>1089</v>
      </c>
      <c r="G424" s="28" t="s">
        <v>410</v>
      </c>
      <c r="H424" s="30" t="s">
        <v>365</v>
      </c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spans="1:26" ht="43.8" thickBot="1" x14ac:dyDescent="0.35">
      <c r="A425" s="23"/>
      <c r="B425" s="23"/>
      <c r="C425" s="23"/>
      <c r="D425" s="23"/>
      <c r="E425" s="35">
        <v>41466</v>
      </c>
      <c r="F425" s="31" t="s">
        <v>1090</v>
      </c>
      <c r="G425" s="31" t="s">
        <v>557</v>
      </c>
      <c r="H425" s="33" t="s">
        <v>384</v>
      </c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spans="1:26" ht="29.4" thickBot="1" x14ac:dyDescent="0.35">
      <c r="A426" s="23"/>
      <c r="B426" s="23"/>
      <c r="C426" s="23"/>
      <c r="D426" s="23"/>
      <c r="E426" s="29" t="s">
        <v>526</v>
      </c>
      <c r="F426" s="28" t="s">
        <v>1091</v>
      </c>
      <c r="G426" s="28" t="s">
        <v>338</v>
      </c>
      <c r="H426" s="30" t="s">
        <v>1045</v>
      </c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spans="1:26" ht="29.4" thickBot="1" x14ac:dyDescent="0.35">
      <c r="A427" s="23"/>
      <c r="B427" s="23"/>
      <c r="C427" s="23"/>
      <c r="D427" s="23"/>
      <c r="E427" s="32" t="s">
        <v>1092</v>
      </c>
      <c r="F427" s="31" t="s">
        <v>1093</v>
      </c>
      <c r="G427" s="31" t="s">
        <v>407</v>
      </c>
      <c r="H427" s="33" t="s">
        <v>1094</v>
      </c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spans="1:26" ht="43.8" thickBot="1" x14ac:dyDescent="0.35">
      <c r="A428" s="23"/>
      <c r="B428" s="23"/>
      <c r="C428" s="23"/>
      <c r="D428" s="23"/>
      <c r="E428" s="34">
        <v>41710</v>
      </c>
      <c r="F428" s="28" t="s">
        <v>1095</v>
      </c>
      <c r="G428" s="28" t="s">
        <v>347</v>
      </c>
      <c r="H428" s="30" t="s">
        <v>1096</v>
      </c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spans="1:26" ht="29.4" thickBot="1" x14ac:dyDescent="0.35">
      <c r="A429" s="23"/>
      <c r="B429" s="23"/>
      <c r="C429" s="23"/>
      <c r="D429" s="23"/>
      <c r="E429" s="32" t="s">
        <v>1097</v>
      </c>
      <c r="F429" s="31" t="s">
        <v>1098</v>
      </c>
      <c r="G429" s="31" t="s">
        <v>161</v>
      </c>
      <c r="H429" s="33" t="s">
        <v>913</v>
      </c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spans="1:26" ht="29.4" thickBot="1" x14ac:dyDescent="0.35">
      <c r="A430" s="23"/>
      <c r="B430" s="23"/>
      <c r="C430" s="23"/>
      <c r="D430" s="23"/>
      <c r="E430" s="29" t="s">
        <v>639</v>
      </c>
      <c r="F430" s="28" t="s">
        <v>1099</v>
      </c>
      <c r="G430" s="28" t="s">
        <v>797</v>
      </c>
      <c r="H430" s="30" t="s">
        <v>665</v>
      </c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spans="1:26" ht="29.4" thickBot="1" x14ac:dyDescent="0.35">
      <c r="A431" s="23"/>
      <c r="B431" s="23"/>
      <c r="C431" s="23"/>
      <c r="D431" s="23"/>
      <c r="E431" s="32" t="s">
        <v>704</v>
      </c>
      <c r="F431" s="31" t="s">
        <v>1100</v>
      </c>
      <c r="G431" s="31" t="s">
        <v>158</v>
      </c>
      <c r="H431" s="33" t="s">
        <v>1101</v>
      </c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spans="1:26" ht="29.4" thickBot="1" x14ac:dyDescent="0.35">
      <c r="A432" s="23"/>
      <c r="B432" s="23"/>
      <c r="C432" s="23"/>
      <c r="D432" s="23"/>
      <c r="E432" s="29" t="s">
        <v>524</v>
      </c>
      <c r="F432" s="28" t="s">
        <v>1102</v>
      </c>
      <c r="G432" s="28" t="s">
        <v>159</v>
      </c>
      <c r="H432" s="30" t="s">
        <v>736</v>
      </c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spans="1:26" ht="29.4" thickBot="1" x14ac:dyDescent="0.35">
      <c r="A433" s="23"/>
      <c r="B433" s="23"/>
      <c r="C433" s="23"/>
      <c r="D433" s="23"/>
      <c r="E433" s="32" t="s">
        <v>445</v>
      </c>
      <c r="F433" s="31" t="s">
        <v>1103</v>
      </c>
      <c r="G433" s="31" t="s">
        <v>519</v>
      </c>
      <c r="H433" s="33" t="s">
        <v>1104</v>
      </c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spans="1:26" ht="29.4" thickBot="1" x14ac:dyDescent="0.35">
      <c r="A434" s="23"/>
      <c r="B434" s="23"/>
      <c r="C434" s="23"/>
      <c r="D434" s="23"/>
      <c r="E434" s="34">
        <v>41286</v>
      </c>
      <c r="F434" s="28" t="s">
        <v>1105</v>
      </c>
      <c r="G434" s="28" t="s">
        <v>343</v>
      </c>
      <c r="H434" s="30" t="s">
        <v>1071</v>
      </c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spans="1:26" ht="29.4" thickBot="1" x14ac:dyDescent="0.35">
      <c r="A435" s="23"/>
      <c r="B435" s="23"/>
      <c r="C435" s="23"/>
      <c r="D435" s="23"/>
      <c r="E435" s="35">
        <v>41427</v>
      </c>
      <c r="F435" s="31" t="s">
        <v>1106</v>
      </c>
      <c r="G435" s="31" t="s">
        <v>160</v>
      </c>
      <c r="H435" s="33" t="s">
        <v>344</v>
      </c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spans="1:26" ht="29.4" thickBot="1" x14ac:dyDescent="0.35">
      <c r="A436" s="23"/>
      <c r="B436" s="23"/>
      <c r="C436" s="23"/>
      <c r="D436" s="23"/>
      <c r="E436" s="34">
        <v>41589</v>
      </c>
      <c r="F436" s="28" t="s">
        <v>1107</v>
      </c>
      <c r="G436" s="28" t="s">
        <v>343</v>
      </c>
      <c r="H436" s="30" t="s">
        <v>793</v>
      </c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spans="1:26" ht="29.4" thickBot="1" x14ac:dyDescent="0.35">
      <c r="A437" s="23"/>
      <c r="B437" s="23"/>
      <c r="C437" s="23"/>
      <c r="D437" s="23"/>
      <c r="E437" s="32" t="s">
        <v>1063</v>
      </c>
      <c r="F437" s="31" t="s">
        <v>1108</v>
      </c>
      <c r="G437" s="31" t="s">
        <v>159</v>
      </c>
      <c r="H437" s="33" t="s">
        <v>580</v>
      </c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spans="1:26" ht="29.4" thickBot="1" x14ac:dyDescent="0.35">
      <c r="A438" s="23"/>
      <c r="B438" s="23"/>
      <c r="C438" s="23"/>
      <c r="D438" s="23"/>
      <c r="E438" s="29" t="s">
        <v>532</v>
      </c>
      <c r="F438" s="28" t="s">
        <v>1109</v>
      </c>
      <c r="G438" s="28" t="s">
        <v>383</v>
      </c>
      <c r="H438" s="30" t="s">
        <v>448</v>
      </c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spans="1:26" ht="29.4" thickBot="1" x14ac:dyDescent="0.35">
      <c r="A439" s="23"/>
      <c r="B439" s="23"/>
      <c r="C439" s="23"/>
      <c r="D439" s="23"/>
      <c r="E439" s="32" t="s">
        <v>427</v>
      </c>
      <c r="F439" s="31" t="s">
        <v>1110</v>
      </c>
      <c r="G439" s="31" t="s">
        <v>156</v>
      </c>
      <c r="H439" s="33" t="s">
        <v>496</v>
      </c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spans="1:26" ht="43.8" thickBot="1" x14ac:dyDescent="0.35">
      <c r="A440" s="23"/>
      <c r="B440" s="23"/>
      <c r="C440" s="23"/>
      <c r="D440" s="23"/>
      <c r="E440" s="29" t="s">
        <v>734</v>
      </c>
      <c r="F440" s="28" t="s">
        <v>1111</v>
      </c>
      <c r="G440" s="28" t="s">
        <v>158</v>
      </c>
      <c r="H440" s="30" t="s">
        <v>576</v>
      </c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spans="1:26" ht="29.4" thickBot="1" x14ac:dyDescent="0.35">
      <c r="A441" s="23"/>
      <c r="B441" s="23"/>
      <c r="C441" s="23"/>
      <c r="D441" s="23"/>
      <c r="E441" s="35">
        <v>41406</v>
      </c>
      <c r="F441" s="31" t="s">
        <v>1112</v>
      </c>
      <c r="G441" s="31" t="s">
        <v>158</v>
      </c>
      <c r="H441" s="33" t="s">
        <v>521</v>
      </c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spans="1:26" ht="15" thickBot="1" x14ac:dyDescent="0.35">
      <c r="A442" s="23"/>
      <c r="B442" s="23"/>
      <c r="C442" s="23"/>
      <c r="D442" s="23"/>
      <c r="E442" s="29" t="s">
        <v>1113</v>
      </c>
      <c r="F442" s="28" t="s">
        <v>1114</v>
      </c>
      <c r="G442" s="28" t="s">
        <v>159</v>
      </c>
      <c r="H442" s="30" t="s">
        <v>437</v>
      </c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spans="1:26" ht="29.4" thickBot="1" x14ac:dyDescent="0.35">
      <c r="A443" s="23"/>
      <c r="B443" s="23"/>
      <c r="C443" s="23"/>
      <c r="D443" s="23"/>
      <c r="E443" s="32" t="s">
        <v>514</v>
      </c>
      <c r="F443" s="31" t="s">
        <v>1115</v>
      </c>
      <c r="G443" s="31" t="s">
        <v>347</v>
      </c>
      <c r="H443" s="33" t="s">
        <v>437</v>
      </c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spans="1:26" ht="29.4" thickBot="1" x14ac:dyDescent="0.35">
      <c r="A444" s="23"/>
      <c r="B444" s="23"/>
      <c r="C444" s="23"/>
      <c r="D444" s="23"/>
      <c r="E444" s="29" t="s">
        <v>1116</v>
      </c>
      <c r="F444" s="28" t="s">
        <v>1117</v>
      </c>
      <c r="G444" s="28" t="s">
        <v>343</v>
      </c>
      <c r="H444" s="30" t="s">
        <v>1027</v>
      </c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spans="1:26" ht="29.4" thickBot="1" x14ac:dyDescent="0.35">
      <c r="A445" s="23"/>
      <c r="B445" s="23"/>
      <c r="C445" s="23"/>
      <c r="D445" s="23"/>
      <c r="E445" s="32" t="s">
        <v>1118</v>
      </c>
      <c r="F445" s="31" t="s">
        <v>1119</v>
      </c>
      <c r="G445" s="31" t="s">
        <v>157</v>
      </c>
      <c r="H445" s="33" t="s">
        <v>1120</v>
      </c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spans="1:26" ht="43.8" thickBot="1" x14ac:dyDescent="0.35">
      <c r="A446" s="23"/>
      <c r="B446" s="23"/>
      <c r="C446" s="23"/>
      <c r="D446" s="23"/>
      <c r="E446" s="29" t="s">
        <v>615</v>
      </c>
      <c r="F446" s="28" t="s">
        <v>1121</v>
      </c>
      <c r="G446" s="28" t="s">
        <v>157</v>
      </c>
      <c r="H446" s="30" t="s">
        <v>678</v>
      </c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spans="1:26" ht="29.4" thickBot="1" x14ac:dyDescent="0.35">
      <c r="A447" s="23"/>
      <c r="B447" s="23"/>
      <c r="C447" s="23"/>
      <c r="D447" s="23"/>
      <c r="E447" s="32" t="s">
        <v>1122</v>
      </c>
      <c r="F447" s="31" t="s">
        <v>1123</v>
      </c>
      <c r="G447" s="31" t="s">
        <v>502</v>
      </c>
      <c r="H447" s="33" t="s">
        <v>501</v>
      </c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spans="1:26" ht="29.4" thickBot="1" x14ac:dyDescent="0.35">
      <c r="A448" s="23"/>
      <c r="B448" s="23"/>
      <c r="C448" s="23"/>
      <c r="D448" s="23"/>
      <c r="E448" s="29" t="s">
        <v>976</v>
      </c>
      <c r="F448" s="28" t="s">
        <v>1124</v>
      </c>
      <c r="G448" s="28" t="s">
        <v>519</v>
      </c>
      <c r="H448" s="30" t="s">
        <v>1125</v>
      </c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spans="1:26" ht="43.8" thickBot="1" x14ac:dyDescent="0.35">
      <c r="A449" s="23"/>
      <c r="B449" s="23"/>
      <c r="C449" s="23"/>
      <c r="D449" s="23"/>
      <c r="E449" s="32" t="s">
        <v>1126</v>
      </c>
      <c r="F449" s="31" t="s">
        <v>1127</v>
      </c>
      <c r="G449" s="31" t="s">
        <v>156</v>
      </c>
      <c r="H449" s="33" t="s">
        <v>525</v>
      </c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spans="1:26" ht="29.4" thickBot="1" x14ac:dyDescent="0.35">
      <c r="A450" s="23"/>
      <c r="B450" s="23"/>
      <c r="C450" s="23"/>
      <c r="D450" s="23"/>
      <c r="E450" s="29" t="s">
        <v>405</v>
      </c>
      <c r="F450" s="28" t="s">
        <v>1128</v>
      </c>
      <c r="G450" s="28" t="s">
        <v>338</v>
      </c>
      <c r="H450" s="30" t="s">
        <v>363</v>
      </c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spans="1:26" ht="29.4" thickBot="1" x14ac:dyDescent="0.35">
      <c r="A451" s="23"/>
      <c r="B451" s="23"/>
      <c r="C451" s="23"/>
      <c r="D451" s="23"/>
      <c r="E451" s="32" t="s">
        <v>526</v>
      </c>
      <c r="F451" s="31" t="s">
        <v>1129</v>
      </c>
      <c r="G451" s="31" t="s">
        <v>352</v>
      </c>
      <c r="H451" s="33" t="s">
        <v>425</v>
      </c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spans="1:26" ht="29.4" thickBot="1" x14ac:dyDescent="0.35">
      <c r="A452" s="23"/>
      <c r="B452" s="23"/>
      <c r="C452" s="23"/>
      <c r="D452" s="23"/>
      <c r="E452" s="29" t="s">
        <v>1130</v>
      </c>
      <c r="F452" s="28" t="s">
        <v>1131</v>
      </c>
      <c r="G452" s="28" t="s">
        <v>387</v>
      </c>
      <c r="H452" s="30" t="s">
        <v>1132</v>
      </c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spans="1:26" ht="43.8" thickBot="1" x14ac:dyDescent="0.35">
      <c r="A453" s="23"/>
      <c r="B453" s="23"/>
      <c r="C453" s="23"/>
      <c r="D453" s="23"/>
      <c r="E453" s="35">
        <v>41490</v>
      </c>
      <c r="F453" s="31" t="s">
        <v>1133</v>
      </c>
      <c r="G453" s="31" t="s">
        <v>477</v>
      </c>
      <c r="H453" s="33" t="s">
        <v>807</v>
      </c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spans="1:26" ht="29.4" thickBot="1" x14ac:dyDescent="0.35">
      <c r="A454" s="23"/>
      <c r="B454" s="23"/>
      <c r="C454" s="23"/>
      <c r="D454" s="23"/>
      <c r="E454" s="29" t="s">
        <v>507</v>
      </c>
      <c r="F454" s="28" t="s">
        <v>1134</v>
      </c>
      <c r="G454" s="28" t="s">
        <v>160</v>
      </c>
      <c r="H454" s="30" t="s">
        <v>1065</v>
      </c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spans="1:26" ht="29.4" thickBot="1" x14ac:dyDescent="0.35">
      <c r="A455" s="23"/>
      <c r="B455" s="23"/>
      <c r="C455" s="23"/>
      <c r="D455" s="23"/>
      <c r="E455" s="32" t="s">
        <v>527</v>
      </c>
      <c r="F455" s="31" t="s">
        <v>1135</v>
      </c>
      <c r="G455" s="31" t="s">
        <v>161</v>
      </c>
      <c r="H455" s="33" t="s">
        <v>1136</v>
      </c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spans="1:26" ht="29.4" thickBot="1" x14ac:dyDescent="0.35">
      <c r="A456" s="23"/>
      <c r="B456" s="23"/>
      <c r="C456" s="23"/>
      <c r="D456" s="23"/>
      <c r="E456" s="29" t="s">
        <v>462</v>
      </c>
      <c r="F456" s="28" t="s">
        <v>1137</v>
      </c>
      <c r="G456" s="28" t="s">
        <v>601</v>
      </c>
      <c r="H456" s="30" t="s">
        <v>496</v>
      </c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spans="1:26" ht="29.4" thickBot="1" x14ac:dyDescent="0.35">
      <c r="A457" s="23"/>
      <c r="B457" s="23"/>
      <c r="C457" s="23"/>
      <c r="D457" s="23"/>
      <c r="E457" s="35">
        <v>41316</v>
      </c>
      <c r="F457" s="31" t="s">
        <v>1138</v>
      </c>
      <c r="G457" s="31" t="s">
        <v>502</v>
      </c>
      <c r="H457" s="33" t="s">
        <v>1139</v>
      </c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spans="1:26" ht="29.4" thickBot="1" x14ac:dyDescent="0.35">
      <c r="A458" s="23"/>
      <c r="B458" s="23"/>
      <c r="C458" s="23"/>
      <c r="D458" s="23"/>
      <c r="E458" s="29" t="s">
        <v>704</v>
      </c>
      <c r="F458" s="28" t="s">
        <v>1140</v>
      </c>
      <c r="G458" s="28" t="s">
        <v>563</v>
      </c>
      <c r="H458" s="30" t="s">
        <v>800</v>
      </c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spans="1:26" ht="29.4" thickBot="1" x14ac:dyDescent="0.35">
      <c r="A459" s="23"/>
      <c r="B459" s="23"/>
      <c r="C459" s="23"/>
      <c r="D459" s="23"/>
      <c r="E459" s="32" t="s">
        <v>1141</v>
      </c>
      <c r="F459" s="31" t="s">
        <v>1142</v>
      </c>
      <c r="G459" s="31" t="s">
        <v>695</v>
      </c>
      <c r="H459" s="33" t="s">
        <v>908</v>
      </c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spans="1:26" ht="43.8" thickBot="1" x14ac:dyDescent="0.35">
      <c r="A460" s="23"/>
      <c r="B460" s="23"/>
      <c r="C460" s="23"/>
      <c r="D460" s="23"/>
      <c r="E460" s="34">
        <v>41437</v>
      </c>
      <c r="F460" s="28" t="s">
        <v>1143</v>
      </c>
      <c r="G460" s="28" t="s">
        <v>343</v>
      </c>
      <c r="H460" s="30" t="s">
        <v>905</v>
      </c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spans="1:26" ht="29.4" thickBot="1" x14ac:dyDescent="0.35">
      <c r="A461" s="23"/>
      <c r="B461" s="23"/>
      <c r="C461" s="23"/>
      <c r="D461" s="23"/>
      <c r="E461" s="32" t="s">
        <v>1144</v>
      </c>
      <c r="F461" s="31" t="s">
        <v>1145</v>
      </c>
      <c r="G461" s="31" t="s">
        <v>383</v>
      </c>
      <c r="H461" s="33" t="s">
        <v>463</v>
      </c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spans="1:26" ht="29.4" thickBot="1" x14ac:dyDescent="0.35">
      <c r="A462" s="23"/>
      <c r="B462" s="23"/>
      <c r="C462" s="23"/>
      <c r="D462" s="23"/>
      <c r="E462" s="34">
        <v>41286</v>
      </c>
      <c r="F462" s="28" t="s">
        <v>1146</v>
      </c>
      <c r="G462" s="28" t="s">
        <v>441</v>
      </c>
      <c r="H462" s="30" t="s">
        <v>501</v>
      </c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spans="1:26" ht="43.8" thickBot="1" x14ac:dyDescent="0.35">
      <c r="A463" s="23"/>
      <c r="B463" s="23"/>
      <c r="C463" s="23"/>
      <c r="D463" s="23"/>
      <c r="E463" s="32" t="s">
        <v>476</v>
      </c>
      <c r="F463" s="31" t="s">
        <v>1147</v>
      </c>
      <c r="G463" s="31" t="s">
        <v>157</v>
      </c>
      <c r="H463" s="33" t="s">
        <v>463</v>
      </c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spans="1:26" ht="29.4" thickBot="1" x14ac:dyDescent="0.35">
      <c r="A464" s="23"/>
      <c r="B464" s="23"/>
      <c r="C464" s="23"/>
      <c r="D464" s="23"/>
      <c r="E464" s="29" t="s">
        <v>553</v>
      </c>
      <c r="F464" s="28" t="s">
        <v>1148</v>
      </c>
      <c r="G464" s="28" t="s">
        <v>945</v>
      </c>
      <c r="H464" s="30" t="s">
        <v>1149</v>
      </c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spans="1:26" ht="43.8" thickBot="1" x14ac:dyDescent="0.35">
      <c r="A465" s="23"/>
      <c r="B465" s="23"/>
      <c r="C465" s="23"/>
      <c r="D465" s="23"/>
      <c r="E465" s="35">
        <v>41710</v>
      </c>
      <c r="F465" s="31" t="s">
        <v>1150</v>
      </c>
      <c r="G465" s="31" t="s">
        <v>414</v>
      </c>
      <c r="H465" s="33" t="s">
        <v>448</v>
      </c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spans="1:26" ht="29.4" thickBot="1" x14ac:dyDescent="0.35">
      <c r="A466" s="23"/>
      <c r="B466" s="23"/>
      <c r="C466" s="23"/>
      <c r="D466" s="23"/>
      <c r="E466" s="29" t="s">
        <v>641</v>
      </c>
      <c r="F466" s="28" t="s">
        <v>1151</v>
      </c>
      <c r="G466" s="28" t="s">
        <v>158</v>
      </c>
      <c r="H466" s="30" t="s">
        <v>572</v>
      </c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spans="1:26" ht="29.4" thickBot="1" x14ac:dyDescent="0.35">
      <c r="A467" s="23"/>
      <c r="B467" s="23"/>
      <c r="C467" s="23"/>
      <c r="D467" s="23"/>
      <c r="E467" s="35">
        <v>41741</v>
      </c>
      <c r="F467" s="31" t="s">
        <v>1152</v>
      </c>
      <c r="G467" s="31" t="s">
        <v>383</v>
      </c>
      <c r="H467" s="33" t="s">
        <v>1071</v>
      </c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spans="1:26" ht="29.4" thickBot="1" x14ac:dyDescent="0.35">
      <c r="A468" s="23"/>
      <c r="B468" s="23"/>
      <c r="C468" s="23"/>
      <c r="D468" s="23"/>
      <c r="E468" s="29" t="s">
        <v>491</v>
      </c>
      <c r="F468" s="28" t="s">
        <v>1153</v>
      </c>
      <c r="G468" s="28" t="s">
        <v>156</v>
      </c>
      <c r="H468" s="30" t="s">
        <v>481</v>
      </c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spans="1:26" ht="29.4" thickBot="1" x14ac:dyDescent="0.35">
      <c r="A469" s="23"/>
      <c r="B469" s="23"/>
      <c r="C469" s="23"/>
      <c r="D469" s="23"/>
      <c r="E469" s="35">
        <v>41437</v>
      </c>
      <c r="F469" s="31" t="s">
        <v>1154</v>
      </c>
      <c r="G469" s="31" t="s">
        <v>343</v>
      </c>
      <c r="H469" s="33" t="s">
        <v>1155</v>
      </c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spans="1:26" ht="29.4" thickBot="1" x14ac:dyDescent="0.35">
      <c r="A470" s="23"/>
      <c r="B470" s="23"/>
      <c r="C470" s="23"/>
      <c r="D470" s="23"/>
      <c r="E470" s="29" t="s">
        <v>427</v>
      </c>
      <c r="F470" s="28" t="s">
        <v>1156</v>
      </c>
      <c r="G470" s="28" t="s">
        <v>502</v>
      </c>
      <c r="H470" s="30" t="s">
        <v>856</v>
      </c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spans="1:26" ht="29.4" thickBot="1" x14ac:dyDescent="0.35">
      <c r="A471" s="23"/>
      <c r="B471" s="23"/>
      <c r="C471" s="23"/>
      <c r="D471" s="23"/>
      <c r="E471" s="32" t="s">
        <v>393</v>
      </c>
      <c r="F471" s="31" t="s">
        <v>1157</v>
      </c>
      <c r="G471" s="31" t="s">
        <v>563</v>
      </c>
      <c r="H471" s="33" t="s">
        <v>674</v>
      </c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spans="1:26" ht="29.4" thickBot="1" x14ac:dyDescent="0.35">
      <c r="A472" s="23"/>
      <c r="B472" s="23"/>
      <c r="C472" s="23"/>
      <c r="D472" s="23"/>
      <c r="E472" s="29" t="s">
        <v>1158</v>
      </c>
      <c r="F472" s="28" t="s">
        <v>1159</v>
      </c>
      <c r="G472" s="28" t="s">
        <v>557</v>
      </c>
      <c r="H472" s="30" t="s">
        <v>848</v>
      </c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spans="1:26" ht="29.4" thickBot="1" x14ac:dyDescent="0.35">
      <c r="A473" s="23"/>
      <c r="B473" s="23"/>
      <c r="C473" s="23"/>
      <c r="D473" s="23"/>
      <c r="E473" s="32" t="s">
        <v>1160</v>
      </c>
      <c r="F473" s="31" t="s">
        <v>1161</v>
      </c>
      <c r="G473" s="31" t="s">
        <v>157</v>
      </c>
      <c r="H473" s="33" t="s">
        <v>597</v>
      </c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spans="1:26" ht="29.4" thickBot="1" x14ac:dyDescent="0.35">
      <c r="A474" s="23"/>
      <c r="B474" s="23"/>
      <c r="C474" s="23"/>
      <c r="D474" s="23"/>
      <c r="E474" s="34">
        <v>41651</v>
      </c>
      <c r="F474" s="28" t="s">
        <v>1162</v>
      </c>
      <c r="G474" s="28" t="s">
        <v>343</v>
      </c>
      <c r="H474" s="30" t="s">
        <v>1027</v>
      </c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spans="1:26" ht="29.4" thickBot="1" x14ac:dyDescent="0.35">
      <c r="A475" s="23"/>
      <c r="B475" s="23"/>
      <c r="C475" s="23"/>
      <c r="D475" s="23"/>
      <c r="E475" s="32" t="s">
        <v>686</v>
      </c>
      <c r="F475" s="31" t="s">
        <v>1163</v>
      </c>
      <c r="G475" s="31" t="s">
        <v>563</v>
      </c>
      <c r="H475" s="33" t="s">
        <v>529</v>
      </c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spans="1:26" ht="29.4" thickBot="1" x14ac:dyDescent="0.35">
      <c r="A476" s="23"/>
      <c r="B476" s="23"/>
      <c r="C476" s="23"/>
      <c r="D476" s="23"/>
      <c r="E476" s="29" t="s">
        <v>1164</v>
      </c>
      <c r="F476" s="28" t="s">
        <v>1165</v>
      </c>
      <c r="G476" s="28" t="s">
        <v>158</v>
      </c>
      <c r="H476" s="30" t="s">
        <v>403</v>
      </c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spans="1:26" ht="29.4" thickBot="1" x14ac:dyDescent="0.35">
      <c r="A477" s="23"/>
      <c r="B477" s="23"/>
      <c r="C477" s="23"/>
      <c r="D477" s="23"/>
      <c r="E477" s="32" t="s">
        <v>545</v>
      </c>
      <c r="F477" s="31" t="s">
        <v>1166</v>
      </c>
      <c r="G477" s="31" t="s">
        <v>410</v>
      </c>
      <c r="H477" s="33" t="s">
        <v>597</v>
      </c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spans="1:26" ht="43.8" thickBot="1" x14ac:dyDescent="0.35">
      <c r="A478" s="23"/>
      <c r="B478" s="23"/>
      <c r="C478" s="23"/>
      <c r="D478" s="23"/>
      <c r="E478" s="29" t="s">
        <v>689</v>
      </c>
      <c r="F478" s="28" t="s">
        <v>1167</v>
      </c>
      <c r="G478" s="28" t="s">
        <v>375</v>
      </c>
      <c r="H478" s="30" t="s">
        <v>1168</v>
      </c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spans="1:26" ht="58.2" thickBot="1" x14ac:dyDescent="0.35">
      <c r="A479" s="23"/>
      <c r="B479" s="23"/>
      <c r="C479" s="23"/>
      <c r="D479" s="23"/>
      <c r="E479" s="32" t="s">
        <v>553</v>
      </c>
      <c r="F479" s="31" t="s">
        <v>1169</v>
      </c>
      <c r="G479" s="31" t="s">
        <v>804</v>
      </c>
      <c r="H479" s="33" t="s">
        <v>473</v>
      </c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spans="1:26" ht="29.4" thickBot="1" x14ac:dyDescent="0.35">
      <c r="A480" s="23"/>
      <c r="B480" s="23"/>
      <c r="C480" s="23"/>
      <c r="D480" s="23"/>
      <c r="E480" s="29" t="s">
        <v>491</v>
      </c>
      <c r="F480" s="28" t="s">
        <v>1170</v>
      </c>
      <c r="G480" s="28" t="s">
        <v>459</v>
      </c>
      <c r="H480" s="30" t="s">
        <v>1171</v>
      </c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spans="1:26" ht="29.4" thickBot="1" x14ac:dyDescent="0.35">
      <c r="A481" s="23"/>
      <c r="B481" s="23"/>
      <c r="C481" s="23"/>
      <c r="D481" s="23"/>
      <c r="E481" s="32" t="s">
        <v>1172</v>
      </c>
      <c r="F481" s="31" t="s">
        <v>1173</v>
      </c>
      <c r="G481" s="31" t="s">
        <v>375</v>
      </c>
      <c r="H481" s="33" t="s">
        <v>403</v>
      </c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spans="1:26" ht="43.8" thickBot="1" x14ac:dyDescent="0.35">
      <c r="A482" s="23"/>
      <c r="B482" s="23"/>
      <c r="C482" s="23"/>
      <c r="D482" s="23"/>
      <c r="E482" s="29" t="s">
        <v>578</v>
      </c>
      <c r="F482" s="28" t="s">
        <v>1174</v>
      </c>
      <c r="G482" s="28" t="s">
        <v>343</v>
      </c>
      <c r="H482" s="30" t="s">
        <v>589</v>
      </c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spans="1:26" ht="29.4" thickBot="1" x14ac:dyDescent="0.35">
      <c r="A483" s="23"/>
      <c r="B483" s="23"/>
      <c r="C483" s="23"/>
      <c r="D483" s="23"/>
      <c r="E483" s="35">
        <v>41854</v>
      </c>
      <c r="F483" s="31" t="s">
        <v>1175</v>
      </c>
      <c r="G483" s="31" t="s">
        <v>513</v>
      </c>
      <c r="H483" s="33" t="s">
        <v>339</v>
      </c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spans="1:26" ht="29.4" thickBot="1" x14ac:dyDescent="0.35">
      <c r="A484" s="23"/>
      <c r="B484" s="23"/>
      <c r="C484" s="23"/>
      <c r="D484" s="23"/>
      <c r="E484" s="29" t="s">
        <v>1176</v>
      </c>
      <c r="F484" s="28" t="s">
        <v>1177</v>
      </c>
      <c r="G484" s="28" t="s">
        <v>347</v>
      </c>
      <c r="H484" s="30" t="s">
        <v>1178</v>
      </c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spans="1:26" ht="43.8" thickBot="1" x14ac:dyDescent="0.35">
      <c r="A485" s="23"/>
      <c r="B485" s="23"/>
      <c r="C485" s="23"/>
      <c r="D485" s="23"/>
      <c r="E485" s="32" t="s">
        <v>1179</v>
      </c>
      <c r="F485" s="31" t="s">
        <v>1180</v>
      </c>
      <c r="G485" s="31" t="s">
        <v>159</v>
      </c>
      <c r="H485" s="33" t="s">
        <v>495</v>
      </c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spans="1:26" ht="29.4" thickBot="1" x14ac:dyDescent="0.35">
      <c r="A486" s="23"/>
      <c r="B486" s="23"/>
      <c r="C486" s="23"/>
      <c r="D486" s="23"/>
      <c r="E486" s="29" t="s">
        <v>1181</v>
      </c>
      <c r="F486" s="28" t="s">
        <v>1182</v>
      </c>
      <c r="G486" s="28" t="s">
        <v>156</v>
      </c>
      <c r="H486" s="30" t="s">
        <v>1183</v>
      </c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spans="1:26" ht="29.4" thickBot="1" x14ac:dyDescent="0.35">
      <c r="A487" s="23"/>
      <c r="B487" s="23"/>
      <c r="C487" s="23"/>
      <c r="D487" s="23"/>
      <c r="E487" s="32" t="s">
        <v>748</v>
      </c>
      <c r="F487" s="31" t="s">
        <v>1184</v>
      </c>
      <c r="G487" s="31" t="s">
        <v>414</v>
      </c>
      <c r="H487" s="33" t="s">
        <v>861</v>
      </c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spans="1:26" ht="29.4" thickBot="1" x14ac:dyDescent="0.35">
      <c r="A488" s="23"/>
      <c r="B488" s="23"/>
      <c r="C488" s="23"/>
      <c r="D488" s="23"/>
      <c r="E488" s="34">
        <v>41437</v>
      </c>
      <c r="F488" s="28" t="s">
        <v>1185</v>
      </c>
      <c r="G488" s="28" t="s">
        <v>695</v>
      </c>
      <c r="H488" s="30" t="s">
        <v>656</v>
      </c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spans="1:26" ht="29.4" thickBot="1" x14ac:dyDescent="0.35">
      <c r="A489" s="23"/>
      <c r="B489" s="23"/>
      <c r="C489" s="23"/>
      <c r="D489" s="23"/>
      <c r="E489" s="32" t="s">
        <v>748</v>
      </c>
      <c r="F489" s="31" t="s">
        <v>1186</v>
      </c>
      <c r="G489" s="31" t="s">
        <v>158</v>
      </c>
      <c r="H489" s="33" t="s">
        <v>495</v>
      </c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spans="1:26" ht="29.4" thickBot="1" x14ac:dyDescent="0.35">
      <c r="A490" s="23"/>
      <c r="B490" s="23"/>
      <c r="C490" s="23"/>
      <c r="D490" s="23"/>
      <c r="E490" s="29" t="s">
        <v>1187</v>
      </c>
      <c r="F490" s="28" t="s">
        <v>1188</v>
      </c>
      <c r="G490" s="28" t="s">
        <v>330</v>
      </c>
      <c r="H490" s="30" t="s">
        <v>1189</v>
      </c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spans="1:26" ht="29.4" thickBot="1" x14ac:dyDescent="0.35">
      <c r="A491" s="23"/>
      <c r="B491" s="23"/>
      <c r="C491" s="23"/>
      <c r="D491" s="23"/>
      <c r="E491" s="35">
        <v>41710</v>
      </c>
      <c r="F491" s="31" t="s">
        <v>1190</v>
      </c>
      <c r="G491" s="31" t="s">
        <v>352</v>
      </c>
      <c r="H491" s="33" t="s">
        <v>1191</v>
      </c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spans="1:26" ht="43.2" x14ac:dyDescent="0.3">
      <c r="A492" s="23"/>
      <c r="B492" s="23"/>
      <c r="C492" s="23"/>
      <c r="D492" s="23"/>
      <c r="E492" s="37" t="s">
        <v>504</v>
      </c>
      <c r="F492" s="38" t="s">
        <v>1192</v>
      </c>
      <c r="G492" s="38" t="s">
        <v>383</v>
      </c>
      <c r="H492" s="39" t="s">
        <v>885</v>
      </c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spans="1:26" x14ac:dyDescent="0.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spans="1:26" x14ac:dyDescent="0.3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spans="1:26" x14ac:dyDescent="0.3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spans="1:26" x14ac:dyDescent="0.3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spans="1:26" x14ac:dyDescent="0.3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spans="1:26" x14ac:dyDescent="0.3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spans="1:26" x14ac:dyDescent="0.3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spans="1:26" x14ac:dyDescent="0.3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spans="1:26" x14ac:dyDescent="0.3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spans="1:26" x14ac:dyDescent="0.3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spans="1:26" x14ac:dyDescent="0.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spans="1:26" x14ac:dyDescent="0.3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spans="1:26" x14ac:dyDescent="0.3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spans="1:26" x14ac:dyDescent="0.3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spans="1:26" x14ac:dyDescent="0.3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spans="1:26" x14ac:dyDescent="0.3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spans="1:26" x14ac:dyDescent="0.3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spans="1:26" x14ac:dyDescent="0.3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spans="1:26" x14ac:dyDescent="0.3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spans="1:26" x14ac:dyDescent="0.3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spans="1:26" x14ac:dyDescent="0.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spans="1:26" x14ac:dyDescent="0.3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spans="1:26" x14ac:dyDescent="0.3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spans="1:26" x14ac:dyDescent="0.3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spans="1:26" x14ac:dyDescent="0.3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spans="1:26" x14ac:dyDescent="0.3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spans="1:26" x14ac:dyDescent="0.3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spans="1:26" x14ac:dyDescent="0.3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spans="1:26" x14ac:dyDescent="0.3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spans="1:26" x14ac:dyDescent="0.3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spans="1:26" x14ac:dyDescent="0.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spans="1:26" x14ac:dyDescent="0.3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spans="1:26" x14ac:dyDescent="0.3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spans="1:26" x14ac:dyDescent="0.3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spans="1:26" x14ac:dyDescent="0.3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spans="1:26" x14ac:dyDescent="0.3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spans="1:26" x14ac:dyDescent="0.3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spans="1:26" x14ac:dyDescent="0.3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spans="1:26" x14ac:dyDescent="0.3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spans="1:26" x14ac:dyDescent="0.3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spans="1:26" x14ac:dyDescent="0.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spans="1:26" x14ac:dyDescent="0.3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spans="1:26" x14ac:dyDescent="0.3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spans="1:26" x14ac:dyDescent="0.3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spans="1:26" x14ac:dyDescent="0.3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spans="1:26" x14ac:dyDescent="0.3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spans="1:26" x14ac:dyDescent="0.3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spans="1:26" x14ac:dyDescent="0.3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spans="1:26" x14ac:dyDescent="0.3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spans="1:26" x14ac:dyDescent="0.3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spans="1:26" x14ac:dyDescent="0.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spans="1:26" x14ac:dyDescent="0.3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spans="1:26" x14ac:dyDescent="0.3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spans="1:26" x14ac:dyDescent="0.3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spans="1:26" x14ac:dyDescent="0.3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spans="1:26" x14ac:dyDescent="0.3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spans="1:26" x14ac:dyDescent="0.3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spans="1:26" x14ac:dyDescent="0.3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spans="1:26" x14ac:dyDescent="0.3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spans="1:26" x14ac:dyDescent="0.3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spans="1:26" x14ac:dyDescent="0.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spans="1:26" x14ac:dyDescent="0.3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spans="1:26" x14ac:dyDescent="0.3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spans="1:26" x14ac:dyDescent="0.3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spans="1:26" x14ac:dyDescent="0.3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spans="1:26" x14ac:dyDescent="0.3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spans="1:26" x14ac:dyDescent="0.3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spans="1:26" x14ac:dyDescent="0.3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spans="1:26" x14ac:dyDescent="0.3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spans="1:26" x14ac:dyDescent="0.3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spans="1:26" x14ac:dyDescent="0.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spans="1:26" x14ac:dyDescent="0.3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spans="1:26" x14ac:dyDescent="0.3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spans="1:26" x14ac:dyDescent="0.3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spans="1:26" x14ac:dyDescent="0.3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spans="1:26" x14ac:dyDescent="0.3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spans="1:26" x14ac:dyDescent="0.3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spans="1:26" x14ac:dyDescent="0.3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spans="1:26" x14ac:dyDescent="0.3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spans="1:26" x14ac:dyDescent="0.3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spans="1:26" x14ac:dyDescent="0.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spans="1:26" x14ac:dyDescent="0.3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spans="1:26" x14ac:dyDescent="0.3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spans="1:26" x14ac:dyDescent="0.3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spans="1:26" x14ac:dyDescent="0.3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spans="1:26" x14ac:dyDescent="0.3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spans="1:26" x14ac:dyDescent="0.3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spans="1:26" x14ac:dyDescent="0.3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spans="1:26" x14ac:dyDescent="0.3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spans="1:26" x14ac:dyDescent="0.3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spans="1:26" x14ac:dyDescent="0.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spans="1:26" x14ac:dyDescent="0.3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spans="1:26" x14ac:dyDescent="0.3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spans="1:26" x14ac:dyDescent="0.3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spans="1:26" x14ac:dyDescent="0.3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spans="1:26" x14ac:dyDescent="0.3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spans="1:26" x14ac:dyDescent="0.3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spans="1:26" x14ac:dyDescent="0.3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spans="1:26" x14ac:dyDescent="0.3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spans="1:26" x14ac:dyDescent="0.3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spans="1:26" x14ac:dyDescent="0.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spans="1:26" x14ac:dyDescent="0.3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spans="1:26" x14ac:dyDescent="0.3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spans="1:26" x14ac:dyDescent="0.3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spans="1:26" x14ac:dyDescent="0.3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spans="1:26" x14ac:dyDescent="0.3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spans="1:26" x14ac:dyDescent="0.3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spans="1:26" x14ac:dyDescent="0.3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spans="1:26" x14ac:dyDescent="0.3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spans="1:26" x14ac:dyDescent="0.3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spans="1:26" x14ac:dyDescent="0.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spans="1:26" x14ac:dyDescent="0.3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spans="1:26" x14ac:dyDescent="0.3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spans="1:26" x14ac:dyDescent="0.3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spans="1:26" x14ac:dyDescent="0.3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spans="1:26" x14ac:dyDescent="0.3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spans="1:26" x14ac:dyDescent="0.3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spans="1:26" x14ac:dyDescent="0.3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spans="1:26" x14ac:dyDescent="0.3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spans="1:26" x14ac:dyDescent="0.3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spans="1:26" x14ac:dyDescent="0.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spans="1:26" x14ac:dyDescent="0.3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spans="1:26" x14ac:dyDescent="0.3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spans="1:26" x14ac:dyDescent="0.3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spans="1:26" x14ac:dyDescent="0.3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spans="1:26" x14ac:dyDescent="0.3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spans="1:26" x14ac:dyDescent="0.3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spans="1:26" x14ac:dyDescent="0.3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spans="1:26" x14ac:dyDescent="0.3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spans="1:26" x14ac:dyDescent="0.3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spans="1:26" x14ac:dyDescent="0.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spans="1:26" x14ac:dyDescent="0.3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spans="1:26" x14ac:dyDescent="0.3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spans="1:26" x14ac:dyDescent="0.3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spans="1:26" x14ac:dyDescent="0.3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spans="1:26" x14ac:dyDescent="0.3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spans="1:26" x14ac:dyDescent="0.3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spans="1:26" x14ac:dyDescent="0.3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spans="1:26" x14ac:dyDescent="0.3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spans="1:26" x14ac:dyDescent="0.3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spans="1:26" x14ac:dyDescent="0.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spans="1:26" x14ac:dyDescent="0.3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spans="1:26" x14ac:dyDescent="0.3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spans="1:26" x14ac:dyDescent="0.3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spans="1:26" x14ac:dyDescent="0.3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spans="1:26" x14ac:dyDescent="0.3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spans="1:26" x14ac:dyDescent="0.3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spans="1:26" x14ac:dyDescent="0.3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spans="1:26" x14ac:dyDescent="0.3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spans="1:26" x14ac:dyDescent="0.3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spans="1:26" x14ac:dyDescent="0.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spans="1:26" x14ac:dyDescent="0.3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spans="1:26" x14ac:dyDescent="0.3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spans="1:26" x14ac:dyDescent="0.3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spans="1:26" x14ac:dyDescent="0.3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spans="1:26" x14ac:dyDescent="0.3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spans="1:26" x14ac:dyDescent="0.3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spans="1:26" x14ac:dyDescent="0.3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spans="1:26" x14ac:dyDescent="0.3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spans="1:26" x14ac:dyDescent="0.3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spans="1:26" x14ac:dyDescent="0.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spans="1:26" x14ac:dyDescent="0.3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spans="1:26" x14ac:dyDescent="0.3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spans="1:26" x14ac:dyDescent="0.3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spans="1:26" x14ac:dyDescent="0.3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spans="1:26" x14ac:dyDescent="0.3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spans="1:26" x14ac:dyDescent="0.3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spans="1:26" x14ac:dyDescent="0.3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spans="1:26" x14ac:dyDescent="0.3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spans="1:26" x14ac:dyDescent="0.3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spans="1:26" x14ac:dyDescent="0.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spans="1:26" x14ac:dyDescent="0.3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spans="1:26" x14ac:dyDescent="0.3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spans="1:26" x14ac:dyDescent="0.3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spans="1:26" x14ac:dyDescent="0.3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spans="1:26" x14ac:dyDescent="0.3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spans="1:26" x14ac:dyDescent="0.3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spans="1:26" x14ac:dyDescent="0.3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spans="1:26" x14ac:dyDescent="0.3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spans="1:26" x14ac:dyDescent="0.3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spans="1:26" x14ac:dyDescent="0.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spans="1:26" x14ac:dyDescent="0.3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spans="1:26" x14ac:dyDescent="0.3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spans="1:26" x14ac:dyDescent="0.3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spans="1:26" x14ac:dyDescent="0.3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spans="1:26" x14ac:dyDescent="0.3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spans="1:26" x14ac:dyDescent="0.3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spans="1:26" x14ac:dyDescent="0.3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spans="1:26" x14ac:dyDescent="0.3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spans="1:26" x14ac:dyDescent="0.3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spans="1:26" x14ac:dyDescent="0.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spans="1:26" x14ac:dyDescent="0.3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spans="1:26" x14ac:dyDescent="0.3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spans="1:26" x14ac:dyDescent="0.3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spans="1:26" x14ac:dyDescent="0.3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spans="1:26" x14ac:dyDescent="0.3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spans="1:26" x14ac:dyDescent="0.3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spans="1:26" x14ac:dyDescent="0.3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spans="1:26" x14ac:dyDescent="0.3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spans="1:26" x14ac:dyDescent="0.3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spans="1:26" x14ac:dyDescent="0.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spans="1:26" x14ac:dyDescent="0.3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spans="1:26" x14ac:dyDescent="0.3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spans="1:26" x14ac:dyDescent="0.3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spans="1:26" x14ac:dyDescent="0.3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spans="1:26" x14ac:dyDescent="0.3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spans="1:26" x14ac:dyDescent="0.3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spans="1:26" x14ac:dyDescent="0.3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spans="1:26" x14ac:dyDescent="0.3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spans="1:26" x14ac:dyDescent="0.3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spans="1:26" x14ac:dyDescent="0.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spans="1:26" x14ac:dyDescent="0.3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spans="1:26" x14ac:dyDescent="0.3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spans="1:26" x14ac:dyDescent="0.3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spans="1:26" x14ac:dyDescent="0.3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spans="1:26" x14ac:dyDescent="0.3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spans="1:26" x14ac:dyDescent="0.3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spans="1:26" x14ac:dyDescent="0.3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spans="1:26" x14ac:dyDescent="0.3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spans="1:26" x14ac:dyDescent="0.3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spans="1:26" x14ac:dyDescent="0.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spans="1:26" x14ac:dyDescent="0.3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spans="1:26" x14ac:dyDescent="0.3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spans="1:26" x14ac:dyDescent="0.3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spans="1:26" x14ac:dyDescent="0.3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spans="1:26" x14ac:dyDescent="0.3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spans="1:26" x14ac:dyDescent="0.3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spans="1:26" x14ac:dyDescent="0.3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spans="1:26" x14ac:dyDescent="0.3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spans="1:26" x14ac:dyDescent="0.3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spans="1:26" x14ac:dyDescent="0.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spans="1:26" x14ac:dyDescent="0.3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spans="1:26" x14ac:dyDescent="0.3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spans="1:26" x14ac:dyDescent="0.3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spans="1:26" x14ac:dyDescent="0.3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spans="1:26" x14ac:dyDescent="0.3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spans="1:26" x14ac:dyDescent="0.3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spans="1:26" x14ac:dyDescent="0.3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spans="1:26" x14ac:dyDescent="0.3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spans="1:26" x14ac:dyDescent="0.3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spans="1:26" x14ac:dyDescent="0.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spans="1:26" x14ac:dyDescent="0.3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spans="1:26" x14ac:dyDescent="0.3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spans="1:26" x14ac:dyDescent="0.3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spans="1:26" x14ac:dyDescent="0.3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spans="1:26" x14ac:dyDescent="0.3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spans="1:26" x14ac:dyDescent="0.3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spans="1:26" x14ac:dyDescent="0.3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spans="1:26" x14ac:dyDescent="0.3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spans="1:26" x14ac:dyDescent="0.3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spans="1:26" x14ac:dyDescent="0.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spans="1:26" x14ac:dyDescent="0.3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spans="1:26" x14ac:dyDescent="0.3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spans="1:26" x14ac:dyDescent="0.3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spans="1:26" x14ac:dyDescent="0.3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spans="1:26" x14ac:dyDescent="0.3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spans="1:26" x14ac:dyDescent="0.3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spans="1:26" x14ac:dyDescent="0.3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spans="1:26" x14ac:dyDescent="0.3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spans="1:26" x14ac:dyDescent="0.3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spans="1:26" x14ac:dyDescent="0.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spans="1:26" x14ac:dyDescent="0.3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spans="1:26" x14ac:dyDescent="0.3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spans="1:26" x14ac:dyDescent="0.3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spans="1:26" x14ac:dyDescent="0.3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spans="1:26" x14ac:dyDescent="0.3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spans="1:26" x14ac:dyDescent="0.3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spans="1:26" x14ac:dyDescent="0.3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spans="1:26" x14ac:dyDescent="0.3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spans="1:26" x14ac:dyDescent="0.3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spans="1:26" x14ac:dyDescent="0.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spans="1:26" x14ac:dyDescent="0.3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spans="1:26" x14ac:dyDescent="0.3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spans="1:26" x14ac:dyDescent="0.3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spans="1:26" x14ac:dyDescent="0.3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spans="1:26" x14ac:dyDescent="0.3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spans="1:26" x14ac:dyDescent="0.3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spans="1:26" x14ac:dyDescent="0.3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spans="1:26" x14ac:dyDescent="0.3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spans="1:26" x14ac:dyDescent="0.3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spans="1:26" x14ac:dyDescent="0.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spans="1:26" x14ac:dyDescent="0.3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spans="1:26" x14ac:dyDescent="0.3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spans="1:26" x14ac:dyDescent="0.3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spans="1:26" x14ac:dyDescent="0.3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spans="1:26" x14ac:dyDescent="0.3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spans="1:26" x14ac:dyDescent="0.3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spans="1:26" x14ac:dyDescent="0.3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spans="1:26" x14ac:dyDescent="0.3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spans="1:26" x14ac:dyDescent="0.3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spans="1:26" x14ac:dyDescent="0.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spans="1:26" x14ac:dyDescent="0.3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spans="1:26" x14ac:dyDescent="0.3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spans="1:26" x14ac:dyDescent="0.3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spans="1:26" x14ac:dyDescent="0.3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spans="1:26" x14ac:dyDescent="0.3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spans="1:26" x14ac:dyDescent="0.3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spans="1:26" x14ac:dyDescent="0.3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spans="1:26" x14ac:dyDescent="0.3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spans="1:26" x14ac:dyDescent="0.3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spans="1:26" x14ac:dyDescent="0.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spans="1:26" x14ac:dyDescent="0.3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spans="1:26" x14ac:dyDescent="0.3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spans="1:26" x14ac:dyDescent="0.3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spans="1:26" x14ac:dyDescent="0.3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spans="1:26" x14ac:dyDescent="0.3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spans="1:26" x14ac:dyDescent="0.3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spans="1:26" x14ac:dyDescent="0.3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spans="1:26" x14ac:dyDescent="0.3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spans="1:26" x14ac:dyDescent="0.3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spans="1:26" x14ac:dyDescent="0.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spans="1:26" x14ac:dyDescent="0.3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spans="1:26" x14ac:dyDescent="0.3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spans="1:26" x14ac:dyDescent="0.3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spans="1:26" x14ac:dyDescent="0.3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spans="1:26" x14ac:dyDescent="0.3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spans="1:26" x14ac:dyDescent="0.3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spans="1:26" x14ac:dyDescent="0.3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spans="1:26" x14ac:dyDescent="0.3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spans="1:26" x14ac:dyDescent="0.3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spans="1:26" x14ac:dyDescent="0.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spans="1:26" x14ac:dyDescent="0.3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spans="1:26" x14ac:dyDescent="0.3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spans="1:26" x14ac:dyDescent="0.3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spans="1:26" x14ac:dyDescent="0.3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spans="1:26" x14ac:dyDescent="0.3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spans="1:26" x14ac:dyDescent="0.3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spans="1:26" x14ac:dyDescent="0.3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spans="1:26" x14ac:dyDescent="0.3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spans="1:26" x14ac:dyDescent="0.3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spans="1:26" x14ac:dyDescent="0.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spans="1:26" x14ac:dyDescent="0.3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spans="1:26" x14ac:dyDescent="0.3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spans="1:26" x14ac:dyDescent="0.3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spans="1:26" x14ac:dyDescent="0.3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spans="1:26" x14ac:dyDescent="0.3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spans="1:26" x14ac:dyDescent="0.3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spans="1:26" x14ac:dyDescent="0.3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spans="1:26" x14ac:dyDescent="0.3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spans="1:26" x14ac:dyDescent="0.3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spans="1:26" x14ac:dyDescent="0.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spans="1:26" x14ac:dyDescent="0.3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spans="1:26" x14ac:dyDescent="0.3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spans="1:26" x14ac:dyDescent="0.3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spans="1:26" x14ac:dyDescent="0.3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spans="1:26" x14ac:dyDescent="0.3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spans="1:26" x14ac:dyDescent="0.3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spans="1:26" x14ac:dyDescent="0.3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spans="1:26" x14ac:dyDescent="0.3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spans="1:26" x14ac:dyDescent="0.3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spans="1:26" x14ac:dyDescent="0.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spans="1:26" x14ac:dyDescent="0.3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spans="1:26" x14ac:dyDescent="0.3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spans="1:26" x14ac:dyDescent="0.3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spans="1:26" x14ac:dyDescent="0.3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spans="1:26" x14ac:dyDescent="0.3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spans="1:26" x14ac:dyDescent="0.3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spans="1:26" x14ac:dyDescent="0.3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spans="1:26" x14ac:dyDescent="0.3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spans="1:26" x14ac:dyDescent="0.3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spans="1:26" x14ac:dyDescent="0.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spans="1:26" x14ac:dyDescent="0.3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spans="1:26" x14ac:dyDescent="0.3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spans="1:26" x14ac:dyDescent="0.3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spans="1:26" x14ac:dyDescent="0.3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spans="1:26" x14ac:dyDescent="0.3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spans="1:26" x14ac:dyDescent="0.3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spans="1:26" x14ac:dyDescent="0.3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spans="1:26" x14ac:dyDescent="0.3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spans="1:26" x14ac:dyDescent="0.3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spans="1:26" x14ac:dyDescent="0.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spans="1:26" x14ac:dyDescent="0.3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spans="1:26" x14ac:dyDescent="0.3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spans="1:26" x14ac:dyDescent="0.3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spans="1:26" x14ac:dyDescent="0.3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spans="1:26" x14ac:dyDescent="0.3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spans="1:26" x14ac:dyDescent="0.3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spans="1:26" x14ac:dyDescent="0.3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spans="1:26" x14ac:dyDescent="0.3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spans="1:26" x14ac:dyDescent="0.3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spans="1:26" x14ac:dyDescent="0.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spans="1:26" x14ac:dyDescent="0.3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spans="1:26" x14ac:dyDescent="0.3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spans="1:26" x14ac:dyDescent="0.3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spans="1:26" x14ac:dyDescent="0.3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spans="1:26" x14ac:dyDescent="0.3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spans="1:26" x14ac:dyDescent="0.3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spans="1:26" x14ac:dyDescent="0.3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spans="1:26" x14ac:dyDescent="0.3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spans="1:26" x14ac:dyDescent="0.3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spans="1:26" x14ac:dyDescent="0.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spans="1:26" x14ac:dyDescent="0.3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spans="1:26" x14ac:dyDescent="0.3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spans="1:26" x14ac:dyDescent="0.3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spans="1:26" x14ac:dyDescent="0.3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spans="1:26" x14ac:dyDescent="0.3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spans="1:26" x14ac:dyDescent="0.3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spans="1:26" x14ac:dyDescent="0.3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spans="1:26" x14ac:dyDescent="0.3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spans="1:26" x14ac:dyDescent="0.3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spans="1:26" x14ac:dyDescent="0.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spans="1:26" x14ac:dyDescent="0.3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spans="1:26" x14ac:dyDescent="0.3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spans="1:26" x14ac:dyDescent="0.3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spans="1:26" x14ac:dyDescent="0.3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spans="1:26" x14ac:dyDescent="0.3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spans="1:26" x14ac:dyDescent="0.3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spans="1:26" x14ac:dyDescent="0.3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spans="1:26" x14ac:dyDescent="0.3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spans="1:26" x14ac:dyDescent="0.3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spans="1:26" x14ac:dyDescent="0.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spans="1:26" x14ac:dyDescent="0.3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spans="1:26" x14ac:dyDescent="0.3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spans="1:26" x14ac:dyDescent="0.3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spans="1:26" x14ac:dyDescent="0.3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spans="1:26" x14ac:dyDescent="0.3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spans="1:26" x14ac:dyDescent="0.3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spans="1:26" x14ac:dyDescent="0.3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spans="1:26" x14ac:dyDescent="0.3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spans="1:26" x14ac:dyDescent="0.3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spans="1:26" x14ac:dyDescent="0.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spans="1:26" x14ac:dyDescent="0.3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spans="1:26" x14ac:dyDescent="0.3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spans="1:26" x14ac:dyDescent="0.3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spans="1:26" x14ac:dyDescent="0.3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spans="1:26" x14ac:dyDescent="0.3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spans="1:26" x14ac:dyDescent="0.3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spans="1:26" x14ac:dyDescent="0.3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spans="1:26" x14ac:dyDescent="0.3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spans="1:26" x14ac:dyDescent="0.3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spans="1:26" x14ac:dyDescent="0.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spans="1:26" x14ac:dyDescent="0.3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spans="1:26" x14ac:dyDescent="0.3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spans="1:26" x14ac:dyDescent="0.3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spans="1:26" x14ac:dyDescent="0.3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spans="1:26" x14ac:dyDescent="0.3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spans="1:26" x14ac:dyDescent="0.3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spans="1:26" x14ac:dyDescent="0.3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spans="1:26" x14ac:dyDescent="0.3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spans="1:26" x14ac:dyDescent="0.3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spans="1:26" x14ac:dyDescent="0.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spans="1:26" x14ac:dyDescent="0.3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spans="1:26" x14ac:dyDescent="0.3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spans="1:26" x14ac:dyDescent="0.3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spans="1:26" x14ac:dyDescent="0.3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spans="1:26" x14ac:dyDescent="0.3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spans="1:26" x14ac:dyDescent="0.3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spans="1:26" x14ac:dyDescent="0.3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spans="1:26" x14ac:dyDescent="0.3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spans="1:26" x14ac:dyDescent="0.3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spans="1:26" x14ac:dyDescent="0.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spans="1:26" x14ac:dyDescent="0.3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spans="1:26" x14ac:dyDescent="0.3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spans="1:26" x14ac:dyDescent="0.3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spans="1:26" x14ac:dyDescent="0.3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spans="1:26" x14ac:dyDescent="0.3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spans="1:26" x14ac:dyDescent="0.3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spans="1:26" x14ac:dyDescent="0.3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spans="1:26" x14ac:dyDescent="0.3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spans="1:26" x14ac:dyDescent="0.3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spans="1:26" x14ac:dyDescent="0.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spans="1:26" x14ac:dyDescent="0.3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spans="1:26" x14ac:dyDescent="0.3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spans="1:26" x14ac:dyDescent="0.3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spans="1:26" x14ac:dyDescent="0.3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spans="1:26" x14ac:dyDescent="0.3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spans="1:26" x14ac:dyDescent="0.3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spans="1:26" x14ac:dyDescent="0.3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spans="1:26" x14ac:dyDescent="0.3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spans="1:26" x14ac:dyDescent="0.3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spans="1:26" x14ac:dyDescent="0.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spans="1:26" x14ac:dyDescent="0.3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spans="1:26" x14ac:dyDescent="0.3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spans="1:26" x14ac:dyDescent="0.3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spans="1:26" x14ac:dyDescent="0.3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spans="1:26" x14ac:dyDescent="0.3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spans="1:26" x14ac:dyDescent="0.3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spans="1:26" x14ac:dyDescent="0.3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spans="1:26" x14ac:dyDescent="0.3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spans="1:26" x14ac:dyDescent="0.3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spans="1:26" x14ac:dyDescent="0.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spans="1:26" x14ac:dyDescent="0.3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spans="1:26" x14ac:dyDescent="0.3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spans="1:26" x14ac:dyDescent="0.3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spans="1:26" x14ac:dyDescent="0.3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spans="1:26" x14ac:dyDescent="0.3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spans="1:26" x14ac:dyDescent="0.3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spans="1:26" x14ac:dyDescent="0.3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spans="1:26" x14ac:dyDescent="0.3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spans="1:26" x14ac:dyDescent="0.3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spans="1:26" x14ac:dyDescent="0.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spans="1:26" x14ac:dyDescent="0.3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spans="1:26" x14ac:dyDescent="0.3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spans="1:26" x14ac:dyDescent="0.3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spans="1:26" x14ac:dyDescent="0.3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spans="1:26" x14ac:dyDescent="0.3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spans="1:26" x14ac:dyDescent="0.3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spans="1:26" x14ac:dyDescent="0.3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spans="1:26" x14ac:dyDescent="0.3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spans="1:26" x14ac:dyDescent="0.3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spans="1:26" x14ac:dyDescent="0.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spans="1:26" x14ac:dyDescent="0.3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spans="1:26" x14ac:dyDescent="0.3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spans="1:26" x14ac:dyDescent="0.3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spans="1:26" x14ac:dyDescent="0.3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spans="1:26" x14ac:dyDescent="0.3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spans="1:26" x14ac:dyDescent="0.3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spans="1:26" x14ac:dyDescent="0.3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mergeCells count="2">
    <mergeCell ref="B2:C3"/>
    <mergeCell ref="E2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Pivot Table </vt:lpstr>
      <vt:lpstr>Product </vt:lpstr>
      <vt:lpstr>Sales </vt:lpstr>
      <vt:lpstr>Power 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Nelli Prasanthi Rashmi</dc:creator>
  <cp:lastModifiedBy>Nelli Prasanthi Rashmi</cp:lastModifiedBy>
  <dcterms:created xsi:type="dcterms:W3CDTF">2025-11-04T03:04:24Z</dcterms:created>
  <dcterms:modified xsi:type="dcterms:W3CDTF">2026-01-06T03:03:10Z</dcterms:modified>
</cp:coreProperties>
</file>
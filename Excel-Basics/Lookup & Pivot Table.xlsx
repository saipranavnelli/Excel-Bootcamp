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ANTHI\Desktop\"/>
    </mc:Choice>
  </mc:AlternateContent>
  <xr:revisionPtr revIDLastSave="0" documentId="13_ncr:1_{BB79D09E-3125-4B03-BA3F-429D7FC351EA}" xr6:coauthVersionLast="47" xr6:coauthVersionMax="47" xr10:uidLastSave="{00000000-0000-0000-0000-000000000000}"/>
  <bookViews>
    <workbookView xWindow="-108" yWindow="-108" windowWidth="23256" windowHeight="12456" activeTab="3" xr2:uid="{80A2D1DF-9025-4F9A-841F-E1BCCFD46CBB}"/>
  </bookViews>
  <sheets>
    <sheet name="Vlookup" sheetId="1" r:id="rId1"/>
    <sheet name="Hlookup" sheetId="2" r:id="rId2"/>
    <sheet name="Xlookup" sheetId="3" r:id="rId3"/>
    <sheet name="Pivot Table " sheetId="5" r:id="rId4"/>
  </sheets>
  <definedNames>
    <definedName name="_xlnm._FilterDatabase" localSheetId="3" hidden="1">'Pivot Table '!$A$3:$H$3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1" l="1"/>
  <c r="K6" i="1"/>
  <c r="K7" i="1"/>
  <c r="K8" i="1"/>
  <c r="K4" i="1"/>
  <c r="K5" i="3" a="1"/>
  <c r="K5" i="3" s="1"/>
  <c r="D22" i="2"/>
  <c r="D9" i="2"/>
  <c r="J26" i="1"/>
  <c r="L5" i="3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<sst xmlns="http://schemas.openxmlformats.org/spreadsheetml/2006/main" count="352" uniqueCount="114">
  <si>
    <t>Name</t>
  </si>
  <si>
    <t>Employee ID</t>
  </si>
  <si>
    <t>Bonus</t>
  </si>
  <si>
    <t>Salary</t>
  </si>
  <si>
    <t>Rajat L</t>
  </si>
  <si>
    <t>Namit J</t>
  </si>
  <si>
    <t>Kriya V</t>
  </si>
  <si>
    <t>Mohd Y</t>
  </si>
  <si>
    <t>Lokesh R</t>
  </si>
  <si>
    <t>Chris G</t>
  </si>
  <si>
    <t>Neha A</t>
  </si>
  <si>
    <t>Rakesh B</t>
  </si>
  <si>
    <t>Santosh B</t>
  </si>
  <si>
    <t>Vikas C</t>
  </si>
  <si>
    <t>Vivek D</t>
  </si>
  <si>
    <t>Bharat G</t>
  </si>
  <si>
    <t>Nilesh S</t>
  </si>
  <si>
    <t>Xlookup</t>
  </si>
  <si>
    <t>Hlookup</t>
  </si>
  <si>
    <t>pivot table</t>
  </si>
  <si>
    <t>Gender</t>
  </si>
  <si>
    <t>Age</t>
  </si>
  <si>
    <t>Class</t>
  </si>
  <si>
    <t>House</t>
  </si>
  <si>
    <t>Unit Test 1</t>
  </si>
  <si>
    <t>Unit Test 2</t>
  </si>
  <si>
    <t>Final Test</t>
  </si>
  <si>
    <t>Abhimanyu</t>
  </si>
  <si>
    <t>M</t>
  </si>
  <si>
    <t>Bhoomi</t>
  </si>
  <si>
    <t>Arjun</t>
  </si>
  <si>
    <t>Vayu</t>
  </si>
  <si>
    <t>Champa</t>
  </si>
  <si>
    <t>F</t>
  </si>
  <si>
    <t>Jal</t>
  </si>
  <si>
    <t>Gopal</t>
  </si>
  <si>
    <t>Gopi</t>
  </si>
  <si>
    <t>Agni</t>
  </si>
  <si>
    <t>Hari</t>
  </si>
  <si>
    <t>Indu</t>
  </si>
  <si>
    <t>Keshav</t>
  </si>
  <si>
    <t>Lalita</t>
  </si>
  <si>
    <t>Madhav</t>
  </si>
  <si>
    <t>Sam</t>
  </si>
  <si>
    <t>RNM</t>
  </si>
  <si>
    <t>Student1</t>
  </si>
  <si>
    <t>Student8</t>
  </si>
  <si>
    <t>Student2</t>
  </si>
  <si>
    <t>Student4</t>
  </si>
  <si>
    <t>Student5</t>
  </si>
  <si>
    <t>Sudevi</t>
  </si>
  <si>
    <t>Varun</t>
  </si>
  <si>
    <t>Vidya</t>
  </si>
  <si>
    <t>Visakha</t>
  </si>
  <si>
    <t>Vrinda</t>
  </si>
  <si>
    <t>vlookup</t>
  </si>
  <si>
    <t>Basic Pivot Table Questions</t>
  </si>
  <si>
    <r>
      <t xml:space="preserve">1. What is the </t>
    </r>
    <r>
      <rPr>
        <b/>
        <sz val="11"/>
        <color theme="1"/>
        <rFont val="Calibri"/>
        <family val="2"/>
      </rPr>
      <t>average score</t>
    </r>
    <r>
      <rPr>
        <sz val="11"/>
        <color theme="1"/>
        <rFont val="Calibri"/>
        <family val="2"/>
      </rPr>
      <t xml:space="preserve"> of each student across all three tests?</t>
    </r>
  </si>
  <si>
    <r>
      <t xml:space="preserve">2. What is the </t>
    </r>
    <r>
      <rPr>
        <b/>
        <sz val="11"/>
        <color theme="1"/>
        <rFont val="Calibri"/>
        <family val="2"/>
      </rPr>
      <t>average Unit Test 1, Unit Test 2, and Final Test score</t>
    </r>
    <r>
      <rPr>
        <sz val="11"/>
        <color theme="1"/>
        <rFont val="Calibri"/>
        <family val="2"/>
      </rPr>
      <t xml:space="preserve"> for each </t>
    </r>
    <r>
      <rPr>
        <b/>
        <sz val="11"/>
        <color theme="1"/>
        <rFont val="Calibri"/>
        <family val="2"/>
      </rPr>
      <t>class</t>
    </r>
    <r>
      <rPr>
        <sz val="11"/>
        <color theme="1"/>
        <rFont val="Calibri"/>
        <family val="2"/>
      </rPr>
      <t>?</t>
    </r>
  </si>
  <si>
    <r>
      <t xml:space="preserve">3. Which </t>
    </r>
    <r>
      <rPr>
        <b/>
        <sz val="11"/>
        <color theme="1"/>
        <rFont val="Calibri"/>
        <family val="2"/>
      </rPr>
      <t>house</t>
    </r>
    <r>
      <rPr>
        <sz val="11"/>
        <color theme="1"/>
        <rFont val="Calibri"/>
        <family val="2"/>
      </rPr>
      <t xml:space="preserve"> has the </t>
    </r>
    <r>
      <rPr>
        <b/>
        <sz val="11"/>
        <color theme="1"/>
        <rFont val="Calibri"/>
        <family val="2"/>
      </rPr>
      <t>highest average Final Test score</t>
    </r>
    <r>
      <rPr>
        <sz val="11"/>
        <color theme="1"/>
        <rFont val="Calibri"/>
        <family val="2"/>
      </rPr>
      <t>?</t>
    </r>
  </si>
  <si>
    <r>
      <t xml:space="preserve">4. How many </t>
    </r>
    <r>
      <rPr>
        <b/>
        <sz val="11"/>
        <color theme="1"/>
        <rFont val="Calibri"/>
        <family val="2"/>
      </rPr>
      <t>students are there in each class</t>
    </r>
    <r>
      <rPr>
        <sz val="11"/>
        <color theme="1"/>
        <rFont val="Calibri"/>
        <family val="2"/>
      </rPr>
      <t>?</t>
    </r>
  </si>
  <si>
    <r>
      <t xml:space="preserve">5. What is the </t>
    </r>
    <r>
      <rPr>
        <b/>
        <sz val="11"/>
        <color theme="1"/>
        <rFont val="Calibri"/>
        <family val="2"/>
      </rPr>
      <t>average age</t>
    </r>
    <r>
      <rPr>
        <sz val="11"/>
        <color theme="1"/>
        <rFont val="Calibri"/>
        <family val="2"/>
      </rPr>
      <t xml:space="preserve"> of students in each </t>
    </r>
    <r>
      <rPr>
        <b/>
        <sz val="11"/>
        <color theme="1"/>
        <rFont val="Calibri"/>
        <family val="2"/>
      </rPr>
      <t>class</t>
    </r>
    <r>
      <rPr>
        <sz val="11"/>
        <color theme="1"/>
        <rFont val="Calibri"/>
        <family val="2"/>
      </rPr>
      <t>?</t>
    </r>
  </si>
  <si>
    <r>
      <t xml:space="preserve">6. How many </t>
    </r>
    <r>
      <rPr>
        <b/>
        <sz val="11"/>
        <color theme="1"/>
        <rFont val="Calibri"/>
        <family val="2"/>
      </rPr>
      <t>male</t>
    </r>
    <r>
      <rPr>
        <sz val="11"/>
        <color theme="1"/>
        <rFont val="Calibri"/>
        <family val="2"/>
      </rPr>
      <t xml:space="preserve"> and </t>
    </r>
    <r>
      <rPr>
        <b/>
        <sz val="11"/>
        <color theme="1"/>
        <rFont val="Calibri"/>
        <family val="2"/>
      </rPr>
      <t>female</t>
    </r>
    <r>
      <rPr>
        <sz val="11"/>
        <color theme="1"/>
        <rFont val="Calibri"/>
        <family val="2"/>
      </rPr>
      <t xml:space="preserve"> students are there in each </t>
    </r>
    <r>
      <rPr>
        <b/>
        <sz val="11"/>
        <color theme="1"/>
        <rFont val="Calibri"/>
        <family val="2"/>
      </rPr>
      <t>house</t>
    </r>
    <r>
      <rPr>
        <sz val="11"/>
        <color theme="1"/>
        <rFont val="Calibri"/>
        <family val="2"/>
      </rPr>
      <t>?</t>
    </r>
  </si>
  <si>
    <r>
      <t xml:space="preserve">7. What is the </t>
    </r>
    <r>
      <rPr>
        <b/>
        <sz val="11"/>
        <color theme="1"/>
        <rFont val="Calibri"/>
        <family val="2"/>
      </rPr>
      <t>average Final Test score</t>
    </r>
    <r>
      <rPr>
        <sz val="11"/>
        <color theme="1"/>
        <rFont val="Calibri"/>
        <family val="2"/>
      </rPr>
      <t xml:space="preserve"> by </t>
    </r>
    <r>
      <rPr>
        <b/>
        <sz val="11"/>
        <color theme="1"/>
        <rFont val="Calibri"/>
        <family val="2"/>
      </rPr>
      <t>gender</t>
    </r>
    <r>
      <rPr>
        <sz val="11"/>
        <color theme="1"/>
        <rFont val="Calibri"/>
        <family val="2"/>
      </rPr>
      <t>?</t>
    </r>
  </si>
  <si>
    <r>
      <t xml:space="preserve">8. Which </t>
    </r>
    <r>
      <rPr>
        <b/>
        <sz val="11"/>
        <color theme="1"/>
        <rFont val="Calibri"/>
        <family val="2"/>
      </rPr>
      <t>student scored the highest</t>
    </r>
    <r>
      <rPr>
        <sz val="11"/>
        <color theme="1"/>
        <rFont val="Calibri"/>
        <family val="2"/>
      </rPr>
      <t xml:space="preserve"> in the </t>
    </r>
    <r>
      <rPr>
        <b/>
        <sz val="11"/>
        <color theme="1"/>
        <rFont val="Calibri"/>
        <family val="2"/>
      </rPr>
      <t>Final Test</t>
    </r>
    <r>
      <rPr>
        <sz val="11"/>
        <color theme="1"/>
        <rFont val="Calibri"/>
        <family val="2"/>
      </rPr>
      <t>?</t>
    </r>
  </si>
  <si>
    <t>🧩 1. VLOOKUP (Vertical Lookup)</t>
  </si>
  <si>
    <t>Definition:</t>
  </si>
  <si>
    <r>
      <t xml:space="preserve">VLOOKUP stands for </t>
    </r>
    <r>
      <rPr>
        <b/>
        <sz val="11"/>
        <color theme="1"/>
        <rFont val="Calibri"/>
        <family val="2"/>
      </rPr>
      <t>Vertical Lookup</t>
    </r>
    <r>
      <rPr>
        <sz val="11"/>
        <color theme="1"/>
        <rFont val="Calibri"/>
        <family val="2"/>
      </rPr>
      <t xml:space="preserve">. It searches for a value in the </t>
    </r>
    <r>
      <rPr>
        <b/>
        <sz val="11"/>
        <color theme="1"/>
        <rFont val="Calibri"/>
        <family val="2"/>
      </rPr>
      <t>first column</t>
    </r>
    <r>
      <rPr>
        <sz val="11"/>
        <color theme="1"/>
        <rFont val="Calibri"/>
        <family val="2"/>
      </rPr>
      <t xml:space="preserve"> of a table and returns a value from another column in the </t>
    </r>
    <r>
      <rPr>
        <b/>
        <sz val="11"/>
        <color theme="1"/>
        <rFont val="Calibri"/>
        <family val="2"/>
      </rPr>
      <t>same row</t>
    </r>
    <r>
      <rPr>
        <sz val="11"/>
        <color theme="1"/>
        <rFont val="Calibri"/>
        <family val="2"/>
      </rPr>
      <t>.</t>
    </r>
  </si>
  <si>
    <t>Formula:</t>
  </si>
  <si>
    <t>=VLOOKUP(lookup_value, table_array, col_index_num, [range_lookup])</t>
  </si>
  <si>
    <t>Example:</t>
  </si>
  <si>
    <t>If you have a list of students with marks:</t>
  </si>
  <si>
    <t>Marks</t>
  </si>
  <si>
    <t>Ram</t>
  </si>
  <si>
    <t>Sita</t>
  </si>
  <si>
    <t>To find Sita’s marks:</t>
  </si>
  <si>
    <r>
      <t>=VLOOKUP("Sita", A2:B5, 2, FALSE)</t>
    </r>
    <r>
      <rPr>
        <sz val="11"/>
        <color theme="1"/>
        <rFont val="Calibri"/>
        <family val="2"/>
      </rPr>
      <t xml:space="preserve"> → returns </t>
    </r>
    <r>
      <rPr>
        <b/>
        <sz val="11"/>
        <color theme="1"/>
        <rFont val="Calibri"/>
        <family val="2"/>
      </rPr>
      <t>90</t>
    </r>
  </si>
  <si>
    <t>Use Cases:</t>
  </si>
  <si>
    <t>To find product prices from a list</t>
  </si>
  <si>
    <t>To get employee details based on ID</t>
  </si>
  <si>
    <t>To fetch student marks from a database</t>
  </si>
  <si>
    <t>🧩 2. HLOOKUP (Horizontal Lookup)</t>
  </si>
  <si>
    <r>
      <t xml:space="preserve">HLOOKUP stands for </t>
    </r>
    <r>
      <rPr>
        <b/>
        <sz val="11"/>
        <color theme="1"/>
        <rFont val="Calibri"/>
        <family val="2"/>
      </rPr>
      <t>Horizontal Lookup</t>
    </r>
    <r>
      <rPr>
        <sz val="11"/>
        <color theme="1"/>
        <rFont val="Calibri"/>
        <family val="2"/>
      </rPr>
      <t xml:space="preserve">. It searches for a value in the </t>
    </r>
    <r>
      <rPr>
        <b/>
        <sz val="11"/>
        <color theme="1"/>
        <rFont val="Calibri"/>
        <family val="2"/>
      </rPr>
      <t>first row</t>
    </r>
    <r>
      <rPr>
        <sz val="11"/>
        <color theme="1"/>
        <rFont val="Calibri"/>
        <family val="2"/>
      </rPr>
      <t xml:space="preserve"> of a table and returns a value from a specified row in the </t>
    </r>
    <r>
      <rPr>
        <b/>
        <sz val="11"/>
        <color theme="1"/>
        <rFont val="Calibri"/>
        <family val="2"/>
      </rPr>
      <t>same column</t>
    </r>
    <r>
      <rPr>
        <sz val="11"/>
        <color theme="1"/>
        <rFont val="Calibri"/>
        <family val="2"/>
      </rPr>
      <t>.</t>
    </r>
  </si>
  <si>
    <t>=HLOOKUP(lookup_value, table_array, row_index_num, [range_lookup])</t>
  </si>
  <si>
    <t>Ravi</t>
  </si>
  <si>
    <r>
      <t>=HLOOKUP("Sita", A1:D2, 2, FALSE)</t>
    </r>
    <r>
      <rPr>
        <sz val="11"/>
        <color theme="1"/>
        <rFont val="Calibri"/>
        <family val="2"/>
      </rPr>
      <t xml:space="preserve"> → returns </t>
    </r>
    <r>
      <rPr>
        <b/>
        <sz val="11"/>
        <color theme="1"/>
        <rFont val="Calibri"/>
        <family val="2"/>
      </rPr>
      <t>90</t>
    </r>
  </si>
  <si>
    <r>
      <t xml:space="preserve">When your data is arranged </t>
    </r>
    <r>
      <rPr>
        <b/>
        <sz val="11"/>
        <color theme="1"/>
        <rFont val="Calibri"/>
        <family val="2"/>
      </rPr>
      <t>horizontally</t>
    </r>
  </si>
  <si>
    <t>To lookup values across top rows (e.g., month names, department headers)</t>
  </si>
  <si>
    <t>🧩 3. XLOOKUP (Advanced Lookup)</t>
  </si>
  <si>
    <r>
      <t>XLOOKUP</t>
    </r>
    <r>
      <rPr>
        <sz val="11"/>
        <color theme="1"/>
        <rFont val="Calibri"/>
        <family val="2"/>
      </rPr>
      <t xml:space="preserve"> is the </t>
    </r>
    <r>
      <rPr>
        <b/>
        <sz val="11"/>
        <color theme="1"/>
        <rFont val="Calibri"/>
        <family val="2"/>
      </rPr>
      <t>modern and improved version</t>
    </r>
    <r>
      <rPr>
        <sz val="11"/>
        <color theme="1"/>
        <rFont val="Calibri"/>
        <family val="2"/>
      </rPr>
      <t xml:space="preserve"> of VLOOKUP and HLOOKUP. It can look </t>
    </r>
    <r>
      <rPr>
        <b/>
        <sz val="11"/>
        <color theme="1"/>
        <rFont val="Calibri"/>
        <family val="2"/>
      </rPr>
      <t>both vertically and horizontally</t>
    </r>
    <r>
      <rPr>
        <sz val="11"/>
        <color theme="1"/>
        <rFont val="Calibri"/>
        <family val="2"/>
      </rPr>
      <t xml:space="preserve"> and doesn’t require the lookup column to be the first one.</t>
    </r>
  </si>
  <si>
    <t>=XLOOKUP(lookup_value, lookup_array, return_array, [if_not_found])</t>
  </si>
  <si>
    <r>
      <t>=XLOOKUP("Sita", A2:A5, B2:B5, "Not Found")</t>
    </r>
    <r>
      <rPr>
        <sz val="11"/>
        <color theme="1"/>
        <rFont val="Calibri"/>
        <family val="2"/>
      </rPr>
      <t xml:space="preserve"> → returns </t>
    </r>
    <r>
      <rPr>
        <b/>
        <sz val="11"/>
        <color theme="1"/>
        <rFont val="Calibri"/>
        <family val="2"/>
      </rPr>
      <t>90</t>
    </r>
  </si>
  <si>
    <t>Advantages over VLOOKUP:</t>
  </si>
  <si>
    <r>
      <t xml:space="preserve">Works </t>
    </r>
    <r>
      <rPr>
        <b/>
        <sz val="11"/>
        <color theme="1"/>
        <rFont val="Calibri"/>
        <family val="2"/>
      </rPr>
      <t>both ways</t>
    </r>
    <r>
      <rPr>
        <sz val="11"/>
        <color theme="1"/>
        <rFont val="Calibri"/>
        <family val="2"/>
      </rPr>
      <t xml:space="preserve"> (left-to-right or right-to-left)</t>
    </r>
  </si>
  <si>
    <r>
      <t>No column number</t>
    </r>
    <r>
      <rPr>
        <sz val="11"/>
        <color theme="1"/>
        <rFont val="Calibri"/>
        <family val="2"/>
      </rPr>
      <t xml:space="preserve"> needed</t>
    </r>
  </si>
  <si>
    <r>
      <t xml:space="preserve">Allows </t>
    </r>
    <r>
      <rPr>
        <b/>
        <sz val="11"/>
        <color theme="1"/>
        <rFont val="Calibri"/>
        <family val="2"/>
      </rPr>
      <t>default value</t>
    </r>
    <r>
      <rPr>
        <sz val="11"/>
        <color theme="1"/>
        <rFont val="Calibri"/>
        <family val="2"/>
      </rPr>
      <t xml:space="preserve"> if not found</t>
    </r>
  </si>
  <si>
    <t>Easier and more flexible</t>
  </si>
  <si>
    <t>To replace complex VLOOKUP/HLOOKUP functions</t>
  </si>
  <si>
    <t>For cleaner and faster lookups in modern Excel versions</t>
  </si>
  <si>
    <t>📊 4. Pivot Table</t>
  </si>
  <si>
    <r>
      <t xml:space="preserve">A </t>
    </r>
    <r>
      <rPr>
        <b/>
        <sz val="11"/>
        <color theme="1"/>
        <rFont val="Calibri"/>
        <family val="2"/>
      </rPr>
      <t>Pivot Table</t>
    </r>
    <r>
      <rPr>
        <sz val="11"/>
        <color theme="1"/>
        <rFont val="Calibri"/>
        <family val="2"/>
      </rPr>
      <t xml:space="preserve"> is a powerful Excel tool that helps </t>
    </r>
    <r>
      <rPr>
        <b/>
        <sz val="11"/>
        <color theme="1"/>
        <rFont val="Calibri"/>
        <family val="2"/>
      </rPr>
      <t>summarize, analyze, and visualize</t>
    </r>
    <r>
      <rPr>
        <sz val="11"/>
        <color theme="1"/>
        <rFont val="Calibri"/>
        <family val="2"/>
      </rPr>
      <t xml:space="preserve"> large amounts of data easily. It lets you rearrange (or </t>
    </r>
    <r>
      <rPr>
        <i/>
        <sz val="11"/>
        <color theme="1"/>
        <rFont val="Calibri"/>
        <family val="2"/>
      </rPr>
      <t>pivot</t>
    </r>
    <r>
      <rPr>
        <sz val="11"/>
        <color theme="1"/>
        <rFont val="Calibri"/>
        <family val="2"/>
      </rPr>
      <t>) your data to view it from different perspectives.</t>
    </r>
  </si>
  <si>
    <t>How it Works:</t>
  </si>
  <si>
    <t>You can drag and drop fields into:</t>
  </si>
  <si>
    <r>
      <t>Rows</t>
    </r>
    <r>
      <rPr>
        <sz val="11"/>
        <color theme="1"/>
        <rFont val="Calibri"/>
        <family val="2"/>
      </rPr>
      <t xml:space="preserve"> → categories (e.g., Departments)</t>
    </r>
  </si>
  <si>
    <r>
      <t>Columns</t>
    </r>
    <r>
      <rPr>
        <sz val="11"/>
        <color theme="1"/>
        <rFont val="Calibri"/>
        <family val="2"/>
      </rPr>
      <t xml:space="preserve"> → subcategories (e.g., Months)</t>
    </r>
  </si>
  <si>
    <r>
      <t>Values</t>
    </r>
    <r>
      <rPr>
        <sz val="11"/>
        <color theme="1"/>
        <rFont val="Calibri"/>
        <family val="2"/>
      </rPr>
      <t xml:space="preserve"> → numbers (e.g., Sales, Marks)</t>
    </r>
  </si>
  <si>
    <r>
      <t>Filters</t>
    </r>
    <r>
      <rPr>
        <sz val="11"/>
        <color theme="1"/>
        <rFont val="Calibri"/>
        <family val="2"/>
      </rPr>
      <t xml:space="preserve"> → criteria to refine data (e.g., Year)</t>
    </r>
  </si>
  <si>
    <t>If you have sales data by product and region, a Pivot Table can instantly show:</t>
  </si>
  <si>
    <t>Total sales per product</t>
  </si>
  <si>
    <t>Sales comparison by region</t>
  </si>
  <si>
    <t>Monthly or yearly summaries</t>
  </si>
  <si>
    <t>To analyze sales, attendance, or performance</t>
  </si>
  <si>
    <t>To summarize marks by subject or department</t>
  </si>
  <si>
    <t>To create quick dashboards without 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</si>
</sst>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6" x14ac:knownFonts="1"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3.5"/>
      <color theme="1"/>
      <name val="Calibri"/>
      <family val="2"/>
    </font>
    <font>
      <sz val="10"/>
      <color theme="1"/>
      <name val="Arial Unicode MS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right"/>
    </xf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0CF8F5-67B4-4F20-9190-68E230C4D52F}" name="Table1" displayName="Table1" ref="A3:H25" totalsRowShown="0">
  <autoFilter ref="A3:H25" xr:uid="{E60CF8F5-67B4-4F20-9190-68E230C4D52F}"/>
  <tableColumns count="8">
    <tableColumn id="1" xr3:uid="{5C9198BD-9624-40CF-9608-30499A054FDD}" name="Name"/>
    <tableColumn id="2" xr3:uid="{D7920219-E87B-458C-8BBF-F1E7E1B95F8F}" name="Gender"/>
    <tableColumn id="3" xr3:uid="{84B5B28B-C5F3-4BE2-B058-0B414FFD9AA8}" name="Age"/>
    <tableColumn id="4" xr3:uid="{084ED224-1CCB-4506-BB1B-D21A39074373}" name="Class"/>
    <tableColumn id="5" xr3:uid="{DEB79ABE-50D4-47F6-8AC1-09D84D2AC270}" name="House"/>
    <tableColumn id="6" xr3:uid="{9BFB5279-137B-495E-A535-87EA0BAFC578}" name="Unit Test 1"/>
    <tableColumn id="7" xr3:uid="{C5C4A41C-73C0-45D9-B44D-B8F7D87FFCBB}" name="Unit Test 2"/>
    <tableColumn id="8" xr3:uid="{644C04C3-EC1F-4FC8-AFDD-9E608338AE2B}" name="Final Te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E5F70-740C-4AA9-BD80-A0DECEE1CDF0}">
  <dimension ref="A1:K66"/>
  <sheetViews>
    <sheetView showGridLines="0" topLeftCell="A38" zoomScale="94" zoomScaleNormal="94" workbookViewId="0">
      <selection activeCell="E52" sqref="E52"/>
    </sheetView>
  </sheetViews>
  <sheetFormatPr defaultRowHeight="14.4" x14ac:dyDescent="0.3"/>
  <cols>
    <col min="4" max="4" width="12.109375" bestFit="1" customWidth="1"/>
    <col min="5" max="6" width="9.88671875" bestFit="1" customWidth="1"/>
  </cols>
  <sheetData>
    <row r="1" spans="1:11" x14ac:dyDescent="0.3">
      <c r="A1" t="s">
        <v>55</v>
      </c>
    </row>
    <row r="3" spans="1:11" x14ac:dyDescent="0.3">
      <c r="A3" t="s">
        <v>0</v>
      </c>
      <c r="B3" t="s">
        <v>20</v>
      </c>
      <c r="C3" t="s">
        <v>21</v>
      </c>
      <c r="D3" t="s">
        <v>22</v>
      </c>
      <c r="E3" t="s">
        <v>24</v>
      </c>
      <c r="F3" t="s">
        <v>25</v>
      </c>
      <c r="G3" t="s">
        <v>26</v>
      </c>
      <c r="J3" t="s">
        <v>0</v>
      </c>
      <c r="K3" t="s">
        <v>26</v>
      </c>
    </row>
    <row r="4" spans="1:11" x14ac:dyDescent="0.3">
      <c r="A4" t="s">
        <v>27</v>
      </c>
      <c r="B4" t="s">
        <v>28</v>
      </c>
      <c r="C4">
        <v>16</v>
      </c>
      <c r="D4">
        <v>10</v>
      </c>
      <c r="E4">
        <v>84</v>
      </c>
      <c r="F4">
        <v>79</v>
      </c>
      <c r="G4">
        <v>81</v>
      </c>
      <c r="J4" t="s">
        <v>54</v>
      </c>
      <c r="K4">
        <f>VLOOKUP(J4,$A$4:$G$18,7,0)</f>
        <v>98</v>
      </c>
    </row>
    <row r="5" spans="1:11" x14ac:dyDescent="0.3">
      <c r="A5" t="s">
        <v>30</v>
      </c>
      <c r="B5" t="s">
        <v>28</v>
      </c>
      <c r="C5">
        <v>11</v>
      </c>
      <c r="D5">
        <v>5</v>
      </c>
      <c r="E5">
        <v>82</v>
      </c>
      <c r="F5">
        <v>83</v>
      </c>
      <c r="G5">
        <v>91</v>
      </c>
      <c r="J5" t="s">
        <v>36</v>
      </c>
      <c r="K5">
        <f t="shared" ref="K5:K8" si="0">VLOOKUP(J5,$A$4:$G$18,7,0)</f>
        <v>96</v>
      </c>
    </row>
    <row r="6" spans="1:11" x14ac:dyDescent="0.3">
      <c r="A6" t="s">
        <v>32</v>
      </c>
      <c r="B6" t="s">
        <v>33</v>
      </c>
      <c r="C6">
        <v>15</v>
      </c>
      <c r="D6">
        <v>8</v>
      </c>
      <c r="E6">
        <v>81</v>
      </c>
      <c r="F6">
        <v>78</v>
      </c>
      <c r="G6">
        <v>88</v>
      </c>
      <c r="J6" t="s">
        <v>42</v>
      </c>
      <c r="K6">
        <f t="shared" si="0"/>
        <v>89</v>
      </c>
    </row>
    <row r="7" spans="1:11" x14ac:dyDescent="0.3">
      <c r="A7" t="s">
        <v>35</v>
      </c>
      <c r="B7" t="s">
        <v>28</v>
      </c>
      <c r="C7">
        <v>14</v>
      </c>
      <c r="D7">
        <v>8</v>
      </c>
      <c r="E7">
        <v>70</v>
      </c>
      <c r="F7">
        <v>75</v>
      </c>
      <c r="G7">
        <v>79</v>
      </c>
      <c r="J7" t="s">
        <v>38</v>
      </c>
      <c r="K7">
        <f t="shared" si="0"/>
        <v>80</v>
      </c>
    </row>
    <row r="8" spans="1:11" x14ac:dyDescent="0.3">
      <c r="A8" t="s">
        <v>36</v>
      </c>
      <c r="B8" t="s">
        <v>33</v>
      </c>
      <c r="C8">
        <v>16</v>
      </c>
      <c r="D8">
        <v>10</v>
      </c>
      <c r="E8">
        <v>88</v>
      </c>
      <c r="F8">
        <v>92</v>
      </c>
      <c r="G8">
        <v>96</v>
      </c>
      <c r="J8" t="s">
        <v>27</v>
      </c>
      <c r="K8">
        <f t="shared" si="0"/>
        <v>81</v>
      </c>
    </row>
    <row r="9" spans="1:11" x14ac:dyDescent="0.3">
      <c r="A9" t="s">
        <v>38</v>
      </c>
      <c r="B9" t="s">
        <v>28</v>
      </c>
      <c r="C9">
        <v>16</v>
      </c>
      <c r="D9">
        <v>10</v>
      </c>
      <c r="E9">
        <v>82</v>
      </c>
      <c r="F9">
        <v>81</v>
      </c>
      <c r="G9">
        <v>80</v>
      </c>
    </row>
    <row r="10" spans="1:11" x14ac:dyDescent="0.3">
      <c r="A10" t="s">
        <v>39</v>
      </c>
      <c r="B10" t="s">
        <v>33</v>
      </c>
      <c r="C10">
        <v>14</v>
      </c>
      <c r="D10">
        <v>8</v>
      </c>
      <c r="E10">
        <v>90</v>
      </c>
      <c r="F10">
        <v>86</v>
      </c>
      <c r="G10">
        <v>89</v>
      </c>
    </row>
    <row r="11" spans="1:11" x14ac:dyDescent="0.3">
      <c r="A11" t="s">
        <v>40</v>
      </c>
      <c r="B11" t="s">
        <v>28</v>
      </c>
      <c r="C11">
        <v>15</v>
      </c>
      <c r="D11">
        <v>9</v>
      </c>
      <c r="E11">
        <v>87</v>
      </c>
      <c r="F11">
        <v>89</v>
      </c>
      <c r="G11">
        <v>96</v>
      </c>
    </row>
    <row r="12" spans="1:11" x14ac:dyDescent="0.3">
      <c r="A12" t="s">
        <v>41</v>
      </c>
      <c r="B12" t="s">
        <v>33</v>
      </c>
      <c r="C12">
        <v>17</v>
      </c>
      <c r="D12">
        <v>10</v>
      </c>
      <c r="E12">
        <v>70</v>
      </c>
      <c r="F12">
        <v>90</v>
      </c>
      <c r="G12">
        <v>92</v>
      </c>
    </row>
    <row r="13" spans="1:11" x14ac:dyDescent="0.3">
      <c r="A13" t="s">
        <v>38</v>
      </c>
      <c r="B13" t="s">
        <v>28</v>
      </c>
      <c r="C13">
        <v>11</v>
      </c>
      <c r="D13">
        <v>6</v>
      </c>
      <c r="E13">
        <v>91</v>
      </c>
      <c r="F13">
        <v>81</v>
      </c>
      <c r="G13">
        <v>95</v>
      </c>
    </row>
    <row r="14" spans="1:11" x14ac:dyDescent="0.3">
      <c r="A14" t="s">
        <v>42</v>
      </c>
      <c r="B14" t="s">
        <v>28</v>
      </c>
      <c r="C14">
        <v>12</v>
      </c>
      <c r="D14">
        <v>7</v>
      </c>
      <c r="E14">
        <v>86</v>
      </c>
      <c r="F14">
        <v>92</v>
      </c>
      <c r="G14">
        <v>89</v>
      </c>
    </row>
    <row r="15" spans="1:11" x14ac:dyDescent="0.3">
      <c r="A15" t="s">
        <v>50</v>
      </c>
      <c r="B15" t="s">
        <v>33</v>
      </c>
      <c r="C15">
        <v>16</v>
      </c>
      <c r="D15">
        <v>10</v>
      </c>
      <c r="E15">
        <v>81</v>
      </c>
      <c r="F15">
        <v>80</v>
      </c>
      <c r="G15">
        <v>87</v>
      </c>
    </row>
    <row r="16" spans="1:11" x14ac:dyDescent="0.3">
      <c r="A16" t="s">
        <v>52</v>
      </c>
      <c r="B16" t="s">
        <v>33</v>
      </c>
      <c r="C16">
        <v>11</v>
      </c>
      <c r="D16">
        <v>6</v>
      </c>
      <c r="E16">
        <v>88</v>
      </c>
      <c r="F16">
        <v>90</v>
      </c>
      <c r="G16">
        <v>92</v>
      </c>
    </row>
    <row r="17" spans="1:10" x14ac:dyDescent="0.3">
      <c r="A17" t="s">
        <v>53</v>
      </c>
      <c r="B17" t="s">
        <v>33</v>
      </c>
      <c r="C17">
        <v>16</v>
      </c>
      <c r="D17">
        <v>10</v>
      </c>
      <c r="E17">
        <v>70</v>
      </c>
      <c r="F17">
        <v>87</v>
      </c>
      <c r="G17">
        <v>85</v>
      </c>
    </row>
    <row r="18" spans="1:10" x14ac:dyDescent="0.3">
      <c r="A18" t="s">
        <v>54</v>
      </c>
      <c r="B18" t="s">
        <v>33</v>
      </c>
      <c r="C18">
        <v>14</v>
      </c>
      <c r="D18">
        <v>8</v>
      </c>
      <c r="E18">
        <v>91</v>
      </c>
      <c r="F18">
        <v>96</v>
      </c>
      <c r="G18">
        <v>98</v>
      </c>
    </row>
    <row r="25" spans="1:10" x14ac:dyDescent="0.3">
      <c r="C25" s="1" t="s">
        <v>0</v>
      </c>
      <c r="D25" s="5" t="s">
        <v>1</v>
      </c>
      <c r="E25" s="5" t="s">
        <v>3</v>
      </c>
      <c r="F25" s="5" t="s">
        <v>2</v>
      </c>
      <c r="I25" s="1" t="s">
        <v>0</v>
      </c>
      <c r="J25" s="1" t="s">
        <v>2</v>
      </c>
    </row>
    <row r="26" spans="1:10" x14ac:dyDescent="0.3">
      <c r="C26" t="s">
        <v>4</v>
      </c>
      <c r="D26" s="3">
        <v>1190</v>
      </c>
      <c r="E26" s="7">
        <v>919738</v>
      </c>
      <c r="F26" s="7">
        <v>206941.05000000002</v>
      </c>
      <c r="I26" t="s">
        <v>10</v>
      </c>
      <c r="J26">
        <f>VLOOKUP(I26,C26:F38,4,FALSE)</f>
        <v>168189.97500000001</v>
      </c>
    </row>
    <row r="27" spans="1:10" x14ac:dyDescent="0.3">
      <c r="C27" t="s">
        <v>5</v>
      </c>
      <c r="D27" s="3">
        <v>1334</v>
      </c>
      <c r="E27" s="7">
        <v>868450</v>
      </c>
      <c r="F27" s="7">
        <v>195401.25</v>
      </c>
    </row>
    <row r="28" spans="1:10" x14ac:dyDescent="0.3">
      <c r="C28" t="s">
        <v>6</v>
      </c>
      <c r="D28" s="3">
        <v>1631</v>
      </c>
      <c r="E28" s="7">
        <v>970292</v>
      </c>
      <c r="F28" s="7">
        <v>218315.7</v>
      </c>
    </row>
    <row r="29" spans="1:10" x14ac:dyDescent="0.3">
      <c r="C29" t="s">
        <v>7</v>
      </c>
      <c r="D29" s="3">
        <v>1163</v>
      </c>
      <c r="E29" s="7">
        <v>974125</v>
      </c>
      <c r="F29" s="7">
        <v>219178.125</v>
      </c>
    </row>
    <row r="30" spans="1:10" x14ac:dyDescent="0.3">
      <c r="C30" t="s">
        <v>8</v>
      </c>
      <c r="D30" s="3">
        <v>1454</v>
      </c>
      <c r="E30" s="7">
        <v>995086</v>
      </c>
      <c r="F30" s="7">
        <v>223894.35</v>
      </c>
    </row>
    <row r="31" spans="1:10" x14ac:dyDescent="0.3">
      <c r="C31" t="s">
        <v>9</v>
      </c>
      <c r="D31" s="3">
        <v>1263</v>
      </c>
      <c r="E31" s="7">
        <v>996563</v>
      </c>
      <c r="F31" s="7">
        <v>224226.67500000002</v>
      </c>
    </row>
    <row r="32" spans="1:10" x14ac:dyDescent="0.3">
      <c r="C32" t="s">
        <v>10</v>
      </c>
      <c r="D32" s="3">
        <v>1767</v>
      </c>
      <c r="E32" s="7">
        <v>747511</v>
      </c>
      <c r="F32" s="7">
        <v>168189.97500000001</v>
      </c>
    </row>
    <row r="33" spans="1:8" x14ac:dyDescent="0.3">
      <c r="C33" t="s">
        <v>11</v>
      </c>
      <c r="D33" s="3">
        <v>1666</v>
      </c>
      <c r="E33" s="7">
        <v>735280</v>
      </c>
      <c r="F33" s="7">
        <v>165438</v>
      </c>
    </row>
    <row r="34" spans="1:8" x14ac:dyDescent="0.3">
      <c r="C34" t="s">
        <v>12</v>
      </c>
      <c r="D34" s="3">
        <v>1255</v>
      </c>
      <c r="E34" s="7">
        <v>764439</v>
      </c>
      <c r="F34" s="7">
        <v>171998.77499999999</v>
      </c>
    </row>
    <row r="35" spans="1:8" x14ac:dyDescent="0.3">
      <c r="C35" t="s">
        <v>13</v>
      </c>
      <c r="D35" s="3">
        <v>1352</v>
      </c>
      <c r="E35" s="7">
        <v>917987</v>
      </c>
      <c r="F35" s="7">
        <v>206547.07500000001</v>
      </c>
      <c r="H35" s="2"/>
    </row>
    <row r="36" spans="1:8" x14ac:dyDescent="0.3">
      <c r="C36" t="s">
        <v>14</v>
      </c>
      <c r="D36" s="3">
        <v>1512</v>
      </c>
      <c r="E36" s="7">
        <v>778095</v>
      </c>
      <c r="F36" s="7">
        <v>175071.375</v>
      </c>
    </row>
    <row r="37" spans="1:8" x14ac:dyDescent="0.3">
      <c r="C37" t="s">
        <v>15</v>
      </c>
      <c r="D37" s="3">
        <v>1120</v>
      </c>
      <c r="E37" s="7">
        <v>963652</v>
      </c>
      <c r="F37" s="7">
        <v>216821.7</v>
      </c>
    </row>
    <row r="38" spans="1:8" x14ac:dyDescent="0.3">
      <c r="C38" t="s">
        <v>16</v>
      </c>
      <c r="D38" s="3">
        <v>1927</v>
      </c>
      <c r="E38" s="7">
        <v>709624</v>
      </c>
      <c r="F38" s="7">
        <v>159665.4</v>
      </c>
    </row>
    <row r="42" spans="1:8" ht="18" x14ac:dyDescent="0.3">
      <c r="A42" s="8" t="s">
        <v>65</v>
      </c>
    </row>
    <row r="44" spans="1:8" x14ac:dyDescent="0.3">
      <c r="A44" s="10" t="s">
        <v>66</v>
      </c>
    </row>
    <row r="45" spans="1:8" x14ac:dyDescent="0.3">
      <c r="A45" t="s">
        <v>67</v>
      </c>
    </row>
    <row r="47" spans="1:8" x14ac:dyDescent="0.3">
      <c r="A47" s="10" t="s">
        <v>68</v>
      </c>
    </row>
    <row r="48" spans="1:8" ht="15" x14ac:dyDescent="0.35">
      <c r="A48" s="11" t="s">
        <v>69</v>
      </c>
    </row>
    <row r="50" spans="1:2" x14ac:dyDescent="0.3">
      <c r="A50" s="10" t="s">
        <v>70</v>
      </c>
    </row>
    <row r="51" spans="1:2" x14ac:dyDescent="0.3">
      <c r="A51" t="s">
        <v>71</v>
      </c>
    </row>
    <row r="53" spans="1:2" x14ac:dyDescent="0.3">
      <c r="A53" s="12" t="s">
        <v>0</v>
      </c>
      <c r="B53" s="12" t="s">
        <v>72</v>
      </c>
    </row>
    <row r="54" spans="1:2" x14ac:dyDescent="0.3">
      <c r="A54" s="13" t="s">
        <v>73</v>
      </c>
      <c r="B54" s="13">
        <v>85</v>
      </c>
    </row>
    <row r="55" spans="1:2" x14ac:dyDescent="0.3">
      <c r="A55" s="13" t="s">
        <v>74</v>
      </c>
      <c r="B55" s="13">
        <v>90</v>
      </c>
    </row>
    <row r="57" spans="1:2" x14ac:dyDescent="0.3">
      <c r="A57" t="s">
        <v>75</v>
      </c>
    </row>
    <row r="58" spans="1:2" ht="15" x14ac:dyDescent="0.35">
      <c r="A58" s="11" t="s">
        <v>76</v>
      </c>
    </row>
    <row r="60" spans="1:2" x14ac:dyDescent="0.3">
      <c r="A60" s="10" t="s">
        <v>77</v>
      </c>
    </row>
    <row r="61" spans="1:2" x14ac:dyDescent="0.3">
      <c r="A61" s="9"/>
    </row>
    <row r="62" spans="1:2" x14ac:dyDescent="0.3">
      <c r="A62" s="9" t="s">
        <v>78</v>
      </c>
    </row>
    <row r="63" spans="1:2" x14ac:dyDescent="0.3">
      <c r="A63" s="9"/>
    </row>
    <row r="64" spans="1:2" x14ac:dyDescent="0.3">
      <c r="A64" s="9" t="s">
        <v>79</v>
      </c>
    </row>
    <row r="65" spans="1:1" x14ac:dyDescent="0.3">
      <c r="A65" s="9"/>
    </row>
    <row r="66" spans="1:1" x14ac:dyDescent="0.3">
      <c r="A66" s="9" t="s">
        <v>80</v>
      </c>
    </row>
  </sheetData>
  <conditionalFormatting sqref="A3:A18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FF273-7F53-487F-8180-18C0890221C0}">
  <dimension ref="A2:P46"/>
  <sheetViews>
    <sheetView showGridLines="0" topLeftCell="A24" zoomScale="91" zoomScaleNormal="91" workbookViewId="0">
      <selection activeCell="F46" sqref="F46"/>
    </sheetView>
  </sheetViews>
  <sheetFormatPr defaultRowHeight="14.4" x14ac:dyDescent="0.3"/>
  <cols>
    <col min="3" max="3" width="12.109375" bestFit="1" customWidth="1"/>
    <col min="4" max="16" width="10.33203125" bestFit="1" customWidth="1"/>
  </cols>
  <sheetData>
    <row r="2" spans="3:16" x14ac:dyDescent="0.3">
      <c r="C2" t="s">
        <v>18</v>
      </c>
    </row>
    <row r="3" spans="3:16" x14ac:dyDescent="0.3">
      <c r="C3" s="1" t="s">
        <v>0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</row>
    <row r="4" spans="3:16" x14ac:dyDescent="0.3">
      <c r="C4" s="1" t="s">
        <v>1</v>
      </c>
      <c r="D4" s="3">
        <v>1190</v>
      </c>
      <c r="E4" s="3">
        <v>1334</v>
      </c>
      <c r="F4" s="3">
        <v>1631</v>
      </c>
      <c r="G4" s="3">
        <v>1163</v>
      </c>
      <c r="H4" s="3">
        <v>1454</v>
      </c>
      <c r="I4" s="3">
        <v>1263</v>
      </c>
      <c r="J4" s="3">
        <v>1767</v>
      </c>
      <c r="K4" s="3">
        <v>1666</v>
      </c>
      <c r="L4" s="3">
        <v>1255</v>
      </c>
      <c r="M4" s="3">
        <v>1352</v>
      </c>
      <c r="N4" s="3">
        <v>1512</v>
      </c>
      <c r="O4" s="3">
        <v>1120</v>
      </c>
      <c r="P4" s="3">
        <v>1927</v>
      </c>
    </row>
    <row r="5" spans="3:16" x14ac:dyDescent="0.3">
      <c r="C5" s="1" t="s">
        <v>3</v>
      </c>
      <c r="D5" s="7">
        <v>919738</v>
      </c>
      <c r="E5" s="7">
        <v>868450</v>
      </c>
      <c r="F5" s="7">
        <v>970292</v>
      </c>
      <c r="G5" s="7">
        <v>974125</v>
      </c>
      <c r="H5" s="7">
        <v>995086</v>
      </c>
      <c r="I5" s="7">
        <v>996563</v>
      </c>
      <c r="J5" s="7">
        <v>747511</v>
      </c>
      <c r="K5" s="7">
        <v>735280</v>
      </c>
      <c r="L5" s="7">
        <v>764439</v>
      </c>
      <c r="M5" s="7">
        <v>917987</v>
      </c>
      <c r="N5" s="7">
        <v>778095</v>
      </c>
      <c r="O5" s="7">
        <v>963652</v>
      </c>
      <c r="P5" s="7">
        <v>709624</v>
      </c>
    </row>
    <row r="6" spans="3:16" x14ac:dyDescent="0.3">
      <c r="C6" s="1" t="s">
        <v>2</v>
      </c>
      <c r="D6" s="7">
        <v>206941.05000000002</v>
      </c>
      <c r="E6" s="7">
        <v>195401.25</v>
      </c>
      <c r="F6" s="7">
        <v>218315.7</v>
      </c>
      <c r="G6" s="7">
        <v>219178.125</v>
      </c>
      <c r="H6" s="7">
        <v>223894.35</v>
      </c>
      <c r="I6" s="7">
        <v>224226.67500000002</v>
      </c>
      <c r="J6" s="7">
        <v>168189.97500000001</v>
      </c>
      <c r="K6" s="7">
        <v>165438</v>
      </c>
      <c r="L6" s="7">
        <v>171998.77499999999</v>
      </c>
      <c r="M6" s="7">
        <v>206547.07500000001</v>
      </c>
      <c r="N6" s="7">
        <v>175071.375</v>
      </c>
      <c r="O6" s="7">
        <v>216821.7</v>
      </c>
      <c r="P6" s="7">
        <v>159665.4</v>
      </c>
    </row>
    <row r="8" spans="3:16" x14ac:dyDescent="0.3">
      <c r="C8" s="1" t="s">
        <v>0</v>
      </c>
      <c r="D8" s="1" t="s">
        <v>2</v>
      </c>
    </row>
    <row r="9" spans="3:16" x14ac:dyDescent="0.3">
      <c r="C9" t="s">
        <v>10</v>
      </c>
      <c r="D9" s="7">
        <f>HLOOKUP(C9,D3:P6,4,FALSE)</f>
        <v>168189.97500000001</v>
      </c>
    </row>
    <row r="14" spans="3:16" x14ac:dyDescent="0.3">
      <c r="C14" t="s">
        <v>17</v>
      </c>
    </row>
    <row r="16" spans="3:16" x14ac:dyDescent="0.3">
      <c r="C16" s="1" t="s">
        <v>1</v>
      </c>
      <c r="D16" s="3">
        <v>1190</v>
      </c>
      <c r="E16" s="3">
        <v>1334</v>
      </c>
      <c r="F16" s="3">
        <v>1631</v>
      </c>
      <c r="G16" s="3">
        <v>1163</v>
      </c>
      <c r="H16" s="3">
        <v>1454</v>
      </c>
      <c r="I16" s="3">
        <v>1263</v>
      </c>
      <c r="J16" s="3">
        <v>1767</v>
      </c>
      <c r="K16" s="3">
        <v>1666</v>
      </c>
      <c r="L16" s="3">
        <v>1255</v>
      </c>
      <c r="M16" s="3">
        <v>1352</v>
      </c>
      <c r="N16" s="3">
        <v>1512</v>
      </c>
      <c r="O16" s="3">
        <v>1120</v>
      </c>
      <c r="P16" s="3">
        <v>1927</v>
      </c>
    </row>
    <row r="17" spans="1:16" x14ac:dyDescent="0.3">
      <c r="C17" s="1" t="s">
        <v>3</v>
      </c>
      <c r="D17" s="7">
        <v>919738</v>
      </c>
      <c r="E17" s="7">
        <v>868450</v>
      </c>
      <c r="F17" s="7">
        <v>970292</v>
      </c>
      <c r="G17" s="7">
        <v>974125</v>
      </c>
      <c r="H17" s="7">
        <v>995086</v>
      </c>
      <c r="I17" s="7">
        <v>996563</v>
      </c>
      <c r="J17" s="7">
        <v>747511</v>
      </c>
      <c r="K17" s="7">
        <v>735280</v>
      </c>
      <c r="L17" s="7">
        <v>764439</v>
      </c>
      <c r="M17" s="7">
        <v>917987</v>
      </c>
      <c r="N17" s="7">
        <v>778095</v>
      </c>
      <c r="O17" s="7">
        <v>963652</v>
      </c>
      <c r="P17" s="7">
        <v>709624</v>
      </c>
    </row>
    <row r="18" spans="1:16" x14ac:dyDescent="0.3">
      <c r="C18" s="1" t="s">
        <v>2</v>
      </c>
      <c r="D18" s="7">
        <v>206941.05000000002</v>
      </c>
      <c r="E18" s="7">
        <v>195401.25</v>
      </c>
      <c r="F18" s="7">
        <v>218315.7</v>
      </c>
      <c r="G18" s="7">
        <v>219178.125</v>
      </c>
      <c r="H18" s="7">
        <v>223894.35</v>
      </c>
      <c r="I18" s="7">
        <v>224226.67500000002</v>
      </c>
      <c r="J18" s="7">
        <v>168189.97500000001</v>
      </c>
      <c r="K18" s="7">
        <v>165438</v>
      </c>
      <c r="L18" s="7">
        <v>171998.77499999999</v>
      </c>
      <c r="M18" s="7">
        <v>206547.07500000001</v>
      </c>
      <c r="N18" s="7">
        <v>175071.375</v>
      </c>
      <c r="O18" s="7">
        <v>216821.7</v>
      </c>
      <c r="P18" s="7">
        <v>159665.4</v>
      </c>
    </row>
    <row r="19" spans="1:16" x14ac:dyDescent="0.3">
      <c r="C19" s="1" t="s">
        <v>0</v>
      </c>
      <c r="D19" s="3" t="s">
        <v>4</v>
      </c>
      <c r="E19" s="3" t="s">
        <v>5</v>
      </c>
      <c r="F19" s="3" t="s">
        <v>6</v>
      </c>
      <c r="G19" s="3" t="s">
        <v>7</v>
      </c>
      <c r="H19" s="3" t="s">
        <v>8</v>
      </c>
      <c r="I19" s="3" t="s">
        <v>9</v>
      </c>
      <c r="J19" s="3" t="s">
        <v>10</v>
      </c>
      <c r="K19" s="3" t="s">
        <v>11</v>
      </c>
      <c r="L19" s="3" t="s">
        <v>12</v>
      </c>
      <c r="M19" s="3" t="s">
        <v>13</v>
      </c>
      <c r="N19" s="3" t="s">
        <v>14</v>
      </c>
      <c r="O19" s="3" t="s">
        <v>15</v>
      </c>
      <c r="P19" s="3" t="s">
        <v>16</v>
      </c>
    </row>
    <row r="21" spans="1:16" x14ac:dyDescent="0.3">
      <c r="C21" s="1" t="s">
        <v>0</v>
      </c>
      <c r="D21" s="1" t="s">
        <v>2</v>
      </c>
    </row>
    <row r="22" spans="1:16" x14ac:dyDescent="0.3">
      <c r="C22" t="s">
        <v>10</v>
      </c>
      <c r="D22" s="7">
        <f>_xlfn.XLOOKUP(C22,D19:P19,D18:P18)</f>
        <v>168189.97500000001</v>
      </c>
    </row>
    <row r="26" spans="1:16" ht="18" x14ac:dyDescent="0.3">
      <c r="A26" s="8" t="s">
        <v>81</v>
      </c>
    </row>
    <row r="28" spans="1:16" x14ac:dyDescent="0.3">
      <c r="A28" s="10" t="s">
        <v>66</v>
      </c>
    </row>
    <row r="29" spans="1:16" x14ac:dyDescent="0.3">
      <c r="A29" t="s">
        <v>82</v>
      </c>
    </row>
    <row r="31" spans="1:16" x14ac:dyDescent="0.3">
      <c r="A31" s="10" t="s">
        <v>68</v>
      </c>
    </row>
    <row r="32" spans="1:16" ht="15" x14ac:dyDescent="0.35">
      <c r="A32" s="11" t="s">
        <v>83</v>
      </c>
    </row>
    <row r="34" spans="1:4" x14ac:dyDescent="0.3">
      <c r="A34" s="10" t="s">
        <v>70</v>
      </c>
    </row>
    <row r="36" spans="1:4" x14ac:dyDescent="0.3">
      <c r="A36" s="12" t="s">
        <v>0</v>
      </c>
      <c r="B36" s="12" t="s">
        <v>73</v>
      </c>
      <c r="C36" s="12" t="s">
        <v>74</v>
      </c>
      <c r="D36" s="12" t="s">
        <v>84</v>
      </c>
    </row>
    <row r="37" spans="1:4" x14ac:dyDescent="0.3">
      <c r="A37" s="13" t="s">
        <v>72</v>
      </c>
      <c r="B37" s="13">
        <v>85</v>
      </c>
      <c r="C37" s="13">
        <v>90</v>
      </c>
      <c r="D37" s="13">
        <v>88</v>
      </c>
    </row>
    <row r="39" spans="1:4" x14ac:dyDescent="0.3">
      <c r="A39" t="s">
        <v>75</v>
      </c>
    </row>
    <row r="40" spans="1:4" ht="15" x14ac:dyDescent="0.35">
      <c r="A40" s="11" t="s">
        <v>85</v>
      </c>
    </row>
    <row r="42" spans="1:4" x14ac:dyDescent="0.3">
      <c r="A42" s="10" t="s">
        <v>77</v>
      </c>
    </row>
    <row r="43" spans="1:4" x14ac:dyDescent="0.3">
      <c r="A43" s="9"/>
    </row>
    <row r="44" spans="1:4" x14ac:dyDescent="0.3">
      <c r="A44" s="9" t="s">
        <v>86</v>
      </c>
    </row>
    <row r="45" spans="1:4" x14ac:dyDescent="0.3">
      <c r="A45" s="9"/>
    </row>
    <row r="46" spans="1:4" x14ac:dyDescent="0.3">
      <c r="A46" s="9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DB0C6-E1FE-48BC-8EBD-880C0BF23164}">
  <dimension ref="A4:L46"/>
  <sheetViews>
    <sheetView showGridLines="0" topLeftCell="A4" zoomScale="89" zoomScaleNormal="89" workbookViewId="0">
      <selection activeCell="F36" sqref="F36"/>
    </sheetView>
  </sheetViews>
  <sheetFormatPr defaultRowHeight="14.4" x14ac:dyDescent="0.3"/>
  <cols>
    <col min="7" max="7" width="11.5546875" bestFit="1" customWidth="1"/>
  </cols>
  <sheetData>
    <row r="4" spans="5:12" x14ac:dyDescent="0.3">
      <c r="E4" s="1" t="s">
        <v>1</v>
      </c>
      <c r="F4" s="5" t="s">
        <v>3</v>
      </c>
      <c r="G4" s="5" t="s">
        <v>2</v>
      </c>
      <c r="H4" s="5" t="s">
        <v>0</v>
      </c>
      <c r="J4" s="1" t="s">
        <v>0</v>
      </c>
      <c r="K4" s="1" t="s">
        <v>3</v>
      </c>
      <c r="L4" s="1" t="s">
        <v>2</v>
      </c>
    </row>
    <row r="5" spans="5:12" x14ac:dyDescent="0.3">
      <c r="E5" s="4">
        <v>1190</v>
      </c>
      <c r="F5" s="3">
        <v>919738</v>
      </c>
      <c r="G5" s="6">
        <v>206941.05000000002</v>
      </c>
      <c r="H5" s="3" t="s">
        <v>4</v>
      </c>
      <c r="J5" t="s">
        <v>10</v>
      </c>
      <c r="K5" cm="1">
        <f t="array" ref="K5:L5">_xlfn.XLOOKUP(J5,H5:H17,F5:G17)</f>
        <v>747511</v>
      </c>
      <c r="L5">
        <v>168189.97500000001</v>
      </c>
    </row>
    <row r="6" spans="5:12" x14ac:dyDescent="0.3">
      <c r="E6" s="4">
        <v>1334</v>
      </c>
      <c r="F6" s="3">
        <v>868450</v>
      </c>
      <c r="G6" s="6">
        <v>195401.25</v>
      </c>
      <c r="H6" s="3" t="s">
        <v>5</v>
      </c>
    </row>
    <row r="7" spans="5:12" x14ac:dyDescent="0.3">
      <c r="E7" s="4">
        <v>1631</v>
      </c>
      <c r="F7" s="3">
        <v>970292</v>
      </c>
      <c r="G7" s="6">
        <v>218315.7</v>
      </c>
      <c r="H7" s="3" t="s">
        <v>6</v>
      </c>
    </row>
    <row r="8" spans="5:12" x14ac:dyDescent="0.3">
      <c r="E8" s="4">
        <v>1163</v>
      </c>
      <c r="F8" s="3">
        <v>974125</v>
      </c>
      <c r="G8" s="6">
        <v>219178.125</v>
      </c>
      <c r="H8" s="3" t="s">
        <v>7</v>
      </c>
    </row>
    <row r="9" spans="5:12" x14ac:dyDescent="0.3">
      <c r="E9" s="4">
        <v>1454</v>
      </c>
      <c r="F9" s="3">
        <v>995086</v>
      </c>
      <c r="G9" s="6">
        <v>223894.35</v>
      </c>
      <c r="H9" s="3" t="s">
        <v>8</v>
      </c>
    </row>
    <row r="10" spans="5:12" x14ac:dyDescent="0.3">
      <c r="E10" s="4">
        <v>1263</v>
      </c>
      <c r="F10" s="3">
        <v>996563</v>
      </c>
      <c r="G10" s="6">
        <v>224226.67500000002</v>
      </c>
      <c r="H10" s="3" t="s">
        <v>9</v>
      </c>
    </row>
    <row r="11" spans="5:12" x14ac:dyDescent="0.3">
      <c r="E11" s="4">
        <v>1767</v>
      </c>
      <c r="F11" s="3">
        <v>747511</v>
      </c>
      <c r="G11" s="6">
        <v>168189.97500000001</v>
      </c>
      <c r="H11" s="3" t="s">
        <v>10</v>
      </c>
    </row>
    <row r="12" spans="5:12" x14ac:dyDescent="0.3">
      <c r="E12" s="4">
        <v>1666</v>
      </c>
      <c r="F12" s="3">
        <v>735280</v>
      </c>
      <c r="G12" s="6">
        <v>165438</v>
      </c>
      <c r="H12" s="3" t="s">
        <v>11</v>
      </c>
    </row>
    <row r="13" spans="5:12" x14ac:dyDescent="0.3">
      <c r="E13" s="4">
        <v>1255</v>
      </c>
      <c r="F13" s="3">
        <v>764439</v>
      </c>
      <c r="G13" s="6">
        <v>171998.77499999999</v>
      </c>
      <c r="H13" s="3" t="s">
        <v>12</v>
      </c>
    </row>
    <row r="14" spans="5:12" x14ac:dyDescent="0.3">
      <c r="E14" s="4">
        <v>1352</v>
      </c>
      <c r="F14" s="3">
        <v>917987</v>
      </c>
      <c r="G14" s="6">
        <v>206547.07500000001</v>
      </c>
      <c r="H14" s="3" t="s">
        <v>13</v>
      </c>
      <c r="I14" s="2"/>
    </row>
    <row r="15" spans="5:12" x14ac:dyDescent="0.3">
      <c r="E15" s="4">
        <v>1512</v>
      </c>
      <c r="F15" s="3">
        <v>778095</v>
      </c>
      <c r="G15" s="6">
        <v>175071.375</v>
      </c>
      <c r="H15" s="3" t="s">
        <v>14</v>
      </c>
    </row>
    <row r="16" spans="5:12" x14ac:dyDescent="0.3">
      <c r="E16" s="4">
        <v>1120</v>
      </c>
      <c r="F16" s="3">
        <v>963652</v>
      </c>
      <c r="G16" s="6">
        <v>216821.7</v>
      </c>
      <c r="H16" s="3" t="s">
        <v>15</v>
      </c>
    </row>
    <row r="17" spans="1:8" x14ac:dyDescent="0.3">
      <c r="E17" s="4">
        <v>1927</v>
      </c>
      <c r="F17" s="3">
        <v>709624</v>
      </c>
      <c r="G17" s="6">
        <v>159665.4</v>
      </c>
      <c r="H17" s="3" t="s">
        <v>16</v>
      </c>
    </row>
    <row r="21" spans="1:8" ht="18" x14ac:dyDescent="0.3">
      <c r="A21" s="8" t="s">
        <v>88</v>
      </c>
    </row>
    <row r="23" spans="1:8" x14ac:dyDescent="0.3">
      <c r="A23" s="10" t="s">
        <v>66</v>
      </c>
    </row>
    <row r="24" spans="1:8" x14ac:dyDescent="0.3">
      <c r="A24" s="10" t="s">
        <v>89</v>
      </c>
    </row>
    <row r="26" spans="1:8" x14ac:dyDescent="0.3">
      <c r="A26" s="10" t="s">
        <v>68</v>
      </c>
    </row>
    <row r="27" spans="1:8" ht="15" x14ac:dyDescent="0.35">
      <c r="A27" s="11" t="s">
        <v>90</v>
      </c>
    </row>
    <row r="29" spans="1:8" x14ac:dyDescent="0.3">
      <c r="A29" s="10" t="s">
        <v>70</v>
      </c>
    </row>
    <row r="30" spans="1:8" ht="15" x14ac:dyDescent="0.35">
      <c r="A30" s="11" t="s">
        <v>91</v>
      </c>
    </row>
    <row r="32" spans="1:8" x14ac:dyDescent="0.3">
      <c r="A32" s="10" t="s">
        <v>92</v>
      </c>
    </row>
    <row r="33" spans="1:1" x14ac:dyDescent="0.3">
      <c r="A33" s="9"/>
    </row>
    <row r="34" spans="1:1" x14ac:dyDescent="0.3">
      <c r="A34" s="9" t="s">
        <v>93</v>
      </c>
    </row>
    <row r="35" spans="1:1" x14ac:dyDescent="0.3">
      <c r="A35" s="9"/>
    </row>
    <row r="36" spans="1:1" x14ac:dyDescent="0.3">
      <c r="A36" s="14" t="s">
        <v>94</v>
      </c>
    </row>
    <row r="37" spans="1:1" x14ac:dyDescent="0.3">
      <c r="A37" s="9"/>
    </row>
    <row r="38" spans="1:1" x14ac:dyDescent="0.3">
      <c r="A38" s="9" t="s">
        <v>95</v>
      </c>
    </row>
    <row r="39" spans="1:1" x14ac:dyDescent="0.3">
      <c r="A39" s="9"/>
    </row>
    <row r="40" spans="1:1" x14ac:dyDescent="0.3">
      <c r="A40" s="9" t="s">
        <v>96</v>
      </c>
    </row>
    <row r="42" spans="1:1" x14ac:dyDescent="0.3">
      <c r="A42" s="10" t="s">
        <v>77</v>
      </c>
    </row>
    <row r="43" spans="1:1" x14ac:dyDescent="0.3">
      <c r="A43" s="9"/>
    </row>
    <row r="44" spans="1:1" x14ac:dyDescent="0.3">
      <c r="A44" s="9" t="s">
        <v>97</v>
      </c>
    </row>
    <row r="45" spans="1:1" x14ac:dyDescent="0.3">
      <c r="A45" s="9"/>
    </row>
    <row r="46" spans="1:1" x14ac:dyDescent="0.3">
      <c r="A46" s="9" t="s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30824-4157-4F9A-9821-C74CBC5974E9}">
  <dimension ref="A1:K84"/>
  <sheetViews>
    <sheetView tabSelected="1" topLeftCell="A52" workbookViewId="0">
      <selection activeCell="L69" sqref="L69"/>
    </sheetView>
  </sheetViews>
  <sheetFormatPr defaultRowHeight="14.4" x14ac:dyDescent="0.3"/>
  <cols>
    <col min="2" max="2" width="9" customWidth="1"/>
    <col min="6" max="7" width="11.77734375" customWidth="1"/>
    <col min="8" max="8" width="10.6640625" customWidth="1"/>
  </cols>
  <sheetData>
    <row r="1" spans="1:11" x14ac:dyDescent="0.3">
      <c r="A1" t="s">
        <v>19</v>
      </c>
    </row>
    <row r="3" spans="1:11" ht="18" x14ac:dyDescent="0.3">
      <c r="A3" t="s">
        <v>0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K3" s="8" t="s">
        <v>56</v>
      </c>
    </row>
    <row r="4" spans="1:11" x14ac:dyDescent="0.3">
      <c r="A4" t="s">
        <v>27</v>
      </c>
      <c r="B4" t="s">
        <v>28</v>
      </c>
      <c r="C4">
        <v>16</v>
      </c>
      <c r="D4">
        <v>10</v>
      </c>
      <c r="E4" t="s">
        <v>29</v>
      </c>
      <c r="F4">
        <v>84</v>
      </c>
      <c r="G4">
        <v>79</v>
      </c>
      <c r="H4">
        <v>81</v>
      </c>
      <c r="K4" s="9"/>
    </row>
    <row r="5" spans="1:11" x14ac:dyDescent="0.3">
      <c r="A5" t="s">
        <v>30</v>
      </c>
      <c r="B5" t="s">
        <v>28</v>
      </c>
      <c r="C5">
        <v>11</v>
      </c>
      <c r="D5">
        <v>5</v>
      </c>
      <c r="E5" t="s">
        <v>31</v>
      </c>
      <c r="F5">
        <v>82</v>
      </c>
      <c r="G5">
        <v>83</v>
      </c>
      <c r="H5">
        <v>91</v>
      </c>
      <c r="K5" s="9" t="s">
        <v>57</v>
      </c>
    </row>
    <row r="6" spans="1:11" x14ac:dyDescent="0.3">
      <c r="A6" t="s">
        <v>32</v>
      </c>
      <c r="B6" t="s">
        <v>33</v>
      </c>
      <c r="C6">
        <v>15</v>
      </c>
      <c r="D6">
        <v>8</v>
      </c>
      <c r="E6" t="s">
        <v>34</v>
      </c>
      <c r="F6">
        <v>81</v>
      </c>
      <c r="G6">
        <v>78</v>
      </c>
      <c r="H6">
        <v>88</v>
      </c>
      <c r="K6" s="9"/>
    </row>
    <row r="7" spans="1:11" x14ac:dyDescent="0.3">
      <c r="A7" t="s">
        <v>35</v>
      </c>
      <c r="B7" t="s">
        <v>28</v>
      </c>
      <c r="C7">
        <v>14</v>
      </c>
      <c r="D7">
        <v>8</v>
      </c>
      <c r="E7" t="s">
        <v>29</v>
      </c>
      <c r="F7">
        <v>70</v>
      </c>
      <c r="G7">
        <v>75</v>
      </c>
      <c r="H7">
        <v>79</v>
      </c>
      <c r="K7" s="9" t="s">
        <v>58</v>
      </c>
    </row>
    <row r="8" spans="1:11" x14ac:dyDescent="0.3">
      <c r="A8" t="s">
        <v>36</v>
      </c>
      <c r="B8" t="s">
        <v>33</v>
      </c>
      <c r="C8">
        <v>16</v>
      </c>
      <c r="D8">
        <v>10</v>
      </c>
      <c r="E8" t="s">
        <v>37</v>
      </c>
      <c r="F8">
        <v>88</v>
      </c>
      <c r="G8">
        <v>92</v>
      </c>
      <c r="H8">
        <v>96</v>
      </c>
      <c r="K8" s="9"/>
    </row>
    <row r="9" spans="1:11" x14ac:dyDescent="0.3">
      <c r="A9" t="s">
        <v>38</v>
      </c>
      <c r="B9" t="s">
        <v>28</v>
      </c>
      <c r="C9">
        <v>16</v>
      </c>
      <c r="D9">
        <v>10</v>
      </c>
      <c r="E9" t="s">
        <v>29</v>
      </c>
      <c r="F9">
        <v>82</v>
      </c>
      <c r="G9">
        <v>81</v>
      </c>
      <c r="H9">
        <v>80</v>
      </c>
      <c r="K9" s="9" t="s">
        <v>59</v>
      </c>
    </row>
    <row r="10" spans="1:11" x14ac:dyDescent="0.3">
      <c r="A10" t="s">
        <v>39</v>
      </c>
      <c r="B10" t="s">
        <v>33</v>
      </c>
      <c r="C10">
        <v>14</v>
      </c>
      <c r="D10">
        <v>8</v>
      </c>
      <c r="E10" t="s">
        <v>31</v>
      </c>
      <c r="F10">
        <v>90</v>
      </c>
      <c r="G10">
        <v>86</v>
      </c>
      <c r="H10">
        <v>89</v>
      </c>
      <c r="K10" s="9"/>
    </row>
    <row r="11" spans="1:11" x14ac:dyDescent="0.3">
      <c r="A11" t="s">
        <v>40</v>
      </c>
      <c r="B11" t="s">
        <v>28</v>
      </c>
      <c r="C11">
        <v>15</v>
      </c>
      <c r="D11">
        <v>9</v>
      </c>
      <c r="E11" t="s">
        <v>37</v>
      </c>
      <c r="F11">
        <v>87</v>
      </c>
      <c r="G11">
        <v>89</v>
      </c>
      <c r="H11">
        <v>96</v>
      </c>
      <c r="K11" s="9" t="s">
        <v>60</v>
      </c>
    </row>
    <row r="12" spans="1:11" x14ac:dyDescent="0.3">
      <c r="A12" t="s">
        <v>41</v>
      </c>
      <c r="B12" t="s">
        <v>33</v>
      </c>
      <c r="C12">
        <v>17</v>
      </c>
      <c r="D12">
        <v>10</v>
      </c>
      <c r="E12" t="s">
        <v>31</v>
      </c>
      <c r="F12">
        <v>70</v>
      </c>
      <c r="G12">
        <v>90</v>
      </c>
      <c r="H12">
        <v>92</v>
      </c>
      <c r="K12" s="9"/>
    </row>
    <row r="13" spans="1:11" x14ac:dyDescent="0.3">
      <c r="A13" t="s">
        <v>42</v>
      </c>
      <c r="B13" t="s">
        <v>28</v>
      </c>
      <c r="C13">
        <v>12</v>
      </c>
      <c r="D13">
        <v>7</v>
      </c>
      <c r="E13" t="s">
        <v>34</v>
      </c>
      <c r="F13">
        <v>86</v>
      </c>
      <c r="G13">
        <v>92</v>
      </c>
      <c r="H13">
        <v>89</v>
      </c>
      <c r="K13" s="9" t="s">
        <v>61</v>
      </c>
    </row>
    <row r="14" spans="1:11" x14ac:dyDescent="0.3">
      <c r="A14" t="s">
        <v>43</v>
      </c>
      <c r="B14" t="s">
        <v>28</v>
      </c>
      <c r="C14">
        <v>11</v>
      </c>
      <c r="D14">
        <v>6</v>
      </c>
      <c r="E14" t="s">
        <v>37</v>
      </c>
      <c r="F14">
        <v>91</v>
      </c>
      <c r="G14">
        <v>81</v>
      </c>
      <c r="H14">
        <v>94</v>
      </c>
      <c r="K14" s="9"/>
    </row>
    <row r="15" spans="1:11" x14ac:dyDescent="0.3">
      <c r="A15" t="s">
        <v>44</v>
      </c>
      <c r="B15" t="s">
        <v>28</v>
      </c>
      <c r="C15">
        <v>16</v>
      </c>
      <c r="D15">
        <v>10</v>
      </c>
      <c r="E15" t="s">
        <v>37</v>
      </c>
      <c r="F15">
        <v>86</v>
      </c>
      <c r="G15">
        <v>81</v>
      </c>
      <c r="H15">
        <v>77</v>
      </c>
      <c r="K15" s="9" t="s">
        <v>62</v>
      </c>
    </row>
    <row r="16" spans="1:11" x14ac:dyDescent="0.3">
      <c r="A16" t="s">
        <v>45</v>
      </c>
      <c r="B16" t="s">
        <v>28</v>
      </c>
      <c r="C16">
        <v>15</v>
      </c>
      <c r="D16">
        <v>9</v>
      </c>
      <c r="E16" t="s">
        <v>37</v>
      </c>
      <c r="F16">
        <v>87</v>
      </c>
      <c r="G16">
        <v>89</v>
      </c>
      <c r="H16">
        <v>95</v>
      </c>
      <c r="K16" s="9"/>
    </row>
    <row r="17" spans="1:11" x14ac:dyDescent="0.3">
      <c r="A17" t="s">
        <v>46</v>
      </c>
      <c r="B17" t="s">
        <v>33</v>
      </c>
      <c r="C17">
        <v>15</v>
      </c>
      <c r="D17">
        <v>8</v>
      </c>
      <c r="E17" t="s">
        <v>31</v>
      </c>
      <c r="F17">
        <v>81</v>
      </c>
      <c r="G17">
        <v>90</v>
      </c>
      <c r="H17">
        <v>95</v>
      </c>
      <c r="K17" s="9" t="s">
        <v>63</v>
      </c>
    </row>
    <row r="18" spans="1:11" x14ac:dyDescent="0.3">
      <c r="A18" t="s">
        <v>47</v>
      </c>
      <c r="B18" t="s">
        <v>33</v>
      </c>
      <c r="C18">
        <v>17</v>
      </c>
      <c r="D18">
        <v>10</v>
      </c>
      <c r="E18" t="s">
        <v>31</v>
      </c>
      <c r="F18">
        <v>70</v>
      </c>
      <c r="G18">
        <v>90</v>
      </c>
      <c r="H18">
        <v>92</v>
      </c>
      <c r="K18" s="9"/>
    </row>
    <row r="19" spans="1:11" x14ac:dyDescent="0.3">
      <c r="A19" t="s">
        <v>48</v>
      </c>
      <c r="B19" t="s">
        <v>33</v>
      </c>
      <c r="C19">
        <v>12</v>
      </c>
      <c r="D19">
        <v>7</v>
      </c>
      <c r="E19" t="s">
        <v>34</v>
      </c>
      <c r="F19">
        <v>86</v>
      </c>
      <c r="G19">
        <v>92</v>
      </c>
      <c r="H19">
        <v>89</v>
      </c>
      <c r="K19" s="9" t="s">
        <v>64</v>
      </c>
    </row>
    <row r="20" spans="1:11" x14ac:dyDescent="0.3">
      <c r="A20" t="s">
        <v>49</v>
      </c>
      <c r="B20" t="s">
        <v>33</v>
      </c>
      <c r="C20">
        <v>16</v>
      </c>
      <c r="D20">
        <v>10</v>
      </c>
      <c r="E20" t="s">
        <v>34</v>
      </c>
      <c r="F20">
        <v>81</v>
      </c>
      <c r="G20">
        <v>80</v>
      </c>
      <c r="H20">
        <v>87</v>
      </c>
    </row>
    <row r="21" spans="1:11" x14ac:dyDescent="0.3">
      <c r="A21" t="s">
        <v>50</v>
      </c>
      <c r="B21" t="s">
        <v>33</v>
      </c>
      <c r="C21">
        <v>16</v>
      </c>
      <c r="D21">
        <v>10</v>
      </c>
      <c r="E21" t="s">
        <v>34</v>
      </c>
      <c r="F21">
        <v>81</v>
      </c>
      <c r="G21">
        <v>80</v>
      </c>
      <c r="H21">
        <v>87</v>
      </c>
    </row>
    <row r="22" spans="1:11" x14ac:dyDescent="0.3">
      <c r="A22" t="s">
        <v>51</v>
      </c>
      <c r="B22" t="s">
        <v>28</v>
      </c>
      <c r="C22">
        <v>15</v>
      </c>
      <c r="D22">
        <v>9</v>
      </c>
      <c r="E22" t="s">
        <v>31</v>
      </c>
      <c r="F22">
        <v>87</v>
      </c>
      <c r="G22">
        <v>89</v>
      </c>
      <c r="H22">
        <v>95</v>
      </c>
    </row>
    <row r="23" spans="1:11" x14ac:dyDescent="0.3">
      <c r="A23" t="s">
        <v>52</v>
      </c>
      <c r="B23" t="s">
        <v>33</v>
      </c>
      <c r="C23">
        <v>11</v>
      </c>
      <c r="D23">
        <v>6</v>
      </c>
      <c r="E23" t="s">
        <v>31</v>
      </c>
      <c r="F23">
        <v>88</v>
      </c>
      <c r="G23">
        <v>90</v>
      </c>
      <c r="H23">
        <v>92</v>
      </c>
    </row>
    <row r="24" spans="1:11" x14ac:dyDescent="0.3">
      <c r="A24" t="s">
        <v>53</v>
      </c>
      <c r="B24" t="s">
        <v>33</v>
      </c>
      <c r="C24">
        <v>16</v>
      </c>
      <c r="D24">
        <v>10</v>
      </c>
      <c r="E24" t="s">
        <v>29</v>
      </c>
      <c r="F24">
        <v>70</v>
      </c>
      <c r="G24">
        <v>87</v>
      </c>
      <c r="H24">
        <v>85</v>
      </c>
    </row>
    <row r="25" spans="1:11" x14ac:dyDescent="0.3">
      <c r="A25" t="s">
        <v>54</v>
      </c>
      <c r="B25" t="s">
        <v>33</v>
      </c>
      <c r="C25">
        <v>14</v>
      </c>
      <c r="D25">
        <v>8</v>
      </c>
      <c r="E25" t="s">
        <v>37</v>
      </c>
      <c r="F25">
        <v>91</v>
      </c>
      <c r="G25">
        <v>96</v>
      </c>
      <c r="H25">
        <v>98</v>
      </c>
    </row>
    <row r="28" spans="1:11" x14ac:dyDescent="0.3">
      <c r="A28" t="s">
        <v>0</v>
      </c>
      <c r="B28" t="s">
        <v>20</v>
      </c>
      <c r="C28" t="s">
        <v>21</v>
      </c>
      <c r="D28" t="s">
        <v>22</v>
      </c>
      <c r="E28" t="s">
        <v>23</v>
      </c>
      <c r="F28" t="s">
        <v>24</v>
      </c>
      <c r="G28" t="s">
        <v>25</v>
      </c>
      <c r="H28" t="s">
        <v>26</v>
      </c>
    </row>
    <row r="29" spans="1:11" x14ac:dyDescent="0.3">
      <c r="A29" t="s">
        <v>27</v>
      </c>
      <c r="B29" t="s">
        <v>28</v>
      </c>
      <c r="C29">
        <v>16</v>
      </c>
      <c r="D29">
        <v>10</v>
      </c>
      <c r="E29" t="s">
        <v>29</v>
      </c>
      <c r="F29">
        <v>84</v>
      </c>
      <c r="G29">
        <v>79</v>
      </c>
      <c r="H29">
        <v>81</v>
      </c>
    </row>
    <row r="30" spans="1:11" x14ac:dyDescent="0.3">
      <c r="A30" t="s">
        <v>30</v>
      </c>
      <c r="B30" t="s">
        <v>28</v>
      </c>
      <c r="C30">
        <v>11</v>
      </c>
      <c r="D30">
        <v>5</v>
      </c>
      <c r="E30" t="s">
        <v>31</v>
      </c>
      <c r="F30">
        <v>82</v>
      </c>
      <c r="G30">
        <v>83</v>
      </c>
      <c r="H30">
        <v>91</v>
      </c>
    </row>
    <row r="31" spans="1:11" x14ac:dyDescent="0.3">
      <c r="A31" t="s">
        <v>32</v>
      </c>
      <c r="B31" t="s">
        <v>33</v>
      </c>
      <c r="C31">
        <v>15</v>
      </c>
      <c r="D31">
        <v>8</v>
      </c>
      <c r="E31" t="s">
        <v>34</v>
      </c>
      <c r="F31">
        <v>81</v>
      </c>
      <c r="G31">
        <v>78</v>
      </c>
      <c r="H31">
        <v>88</v>
      </c>
    </row>
    <row r="32" spans="1:11" x14ac:dyDescent="0.3">
      <c r="A32" t="s">
        <v>35</v>
      </c>
      <c r="B32" t="s">
        <v>28</v>
      </c>
      <c r="C32">
        <v>14</v>
      </c>
      <c r="D32">
        <v>8</v>
      </c>
      <c r="E32" t="s">
        <v>29</v>
      </c>
      <c r="F32">
        <v>70</v>
      </c>
      <c r="G32">
        <v>75</v>
      </c>
      <c r="H32">
        <v>79</v>
      </c>
    </row>
    <row r="33" spans="1:8" x14ac:dyDescent="0.3">
      <c r="A33" t="s">
        <v>36</v>
      </c>
      <c r="B33" t="s">
        <v>33</v>
      </c>
      <c r="C33">
        <v>16</v>
      </c>
      <c r="D33">
        <v>10</v>
      </c>
      <c r="E33" t="s">
        <v>37</v>
      </c>
      <c r="F33">
        <v>88</v>
      </c>
      <c r="G33">
        <v>92</v>
      </c>
      <c r="H33">
        <v>96</v>
      </c>
    </row>
    <row r="34" spans="1:8" x14ac:dyDescent="0.3">
      <c r="A34" t="s">
        <v>38</v>
      </c>
      <c r="B34" t="s">
        <v>28</v>
      </c>
      <c r="C34">
        <v>16</v>
      </c>
      <c r="D34">
        <v>10</v>
      </c>
      <c r="E34" t="s">
        <v>29</v>
      </c>
      <c r="F34">
        <v>82</v>
      </c>
      <c r="G34">
        <v>81</v>
      </c>
      <c r="H34">
        <v>80</v>
      </c>
    </row>
    <row r="35" spans="1:8" x14ac:dyDescent="0.3">
      <c r="A35" t="s">
        <v>39</v>
      </c>
      <c r="B35" t="s">
        <v>33</v>
      </c>
      <c r="C35">
        <v>14</v>
      </c>
      <c r="D35">
        <v>8</v>
      </c>
      <c r="E35" t="s">
        <v>31</v>
      </c>
      <c r="F35">
        <v>90</v>
      </c>
      <c r="G35">
        <v>86</v>
      </c>
      <c r="H35">
        <v>89</v>
      </c>
    </row>
    <row r="36" spans="1:8" x14ac:dyDescent="0.3">
      <c r="A36" t="s">
        <v>40</v>
      </c>
      <c r="B36" t="s">
        <v>28</v>
      </c>
      <c r="C36">
        <v>15</v>
      </c>
      <c r="D36">
        <v>9</v>
      </c>
      <c r="E36" t="s">
        <v>37</v>
      </c>
      <c r="F36">
        <v>87</v>
      </c>
      <c r="G36">
        <v>89</v>
      </c>
      <c r="H36">
        <v>96</v>
      </c>
    </row>
    <row r="37" spans="1:8" x14ac:dyDescent="0.3">
      <c r="A37" t="s">
        <v>41</v>
      </c>
      <c r="B37" t="s">
        <v>33</v>
      </c>
      <c r="C37">
        <v>17</v>
      </c>
      <c r="D37">
        <v>10</v>
      </c>
      <c r="E37" t="s">
        <v>31</v>
      </c>
      <c r="F37">
        <v>70</v>
      </c>
      <c r="G37">
        <v>90</v>
      </c>
      <c r="H37">
        <v>92</v>
      </c>
    </row>
    <row r="38" spans="1:8" x14ac:dyDescent="0.3">
      <c r="A38" t="s">
        <v>42</v>
      </c>
      <c r="B38" t="s">
        <v>28</v>
      </c>
      <c r="C38">
        <v>12</v>
      </c>
      <c r="D38">
        <v>7</v>
      </c>
      <c r="E38" t="s">
        <v>34</v>
      </c>
      <c r="F38">
        <v>86</v>
      </c>
      <c r="G38">
        <v>92</v>
      </c>
      <c r="H38">
        <v>89</v>
      </c>
    </row>
    <row r="39" spans="1:8" x14ac:dyDescent="0.3">
      <c r="A39" t="s">
        <v>43</v>
      </c>
      <c r="B39" t="s">
        <v>28</v>
      </c>
      <c r="C39">
        <v>11</v>
      </c>
      <c r="D39">
        <v>6</v>
      </c>
      <c r="E39" t="s">
        <v>37</v>
      </c>
      <c r="F39">
        <v>91</v>
      </c>
      <c r="G39">
        <v>81</v>
      </c>
      <c r="H39">
        <v>94</v>
      </c>
    </row>
    <row r="40" spans="1:8" x14ac:dyDescent="0.3">
      <c r="A40" t="s">
        <v>44</v>
      </c>
      <c r="B40" t="s">
        <v>28</v>
      </c>
      <c r="C40">
        <v>16</v>
      </c>
      <c r="D40">
        <v>10</v>
      </c>
      <c r="E40" t="s">
        <v>37</v>
      </c>
      <c r="F40">
        <v>86</v>
      </c>
      <c r="G40">
        <v>81</v>
      </c>
      <c r="H40">
        <v>77</v>
      </c>
    </row>
    <row r="41" spans="1:8" x14ac:dyDescent="0.3">
      <c r="A41" t="s">
        <v>45</v>
      </c>
      <c r="B41" t="s">
        <v>28</v>
      </c>
      <c r="C41">
        <v>15</v>
      </c>
      <c r="D41">
        <v>9</v>
      </c>
      <c r="E41" t="s">
        <v>37</v>
      </c>
      <c r="F41">
        <v>87</v>
      </c>
      <c r="G41">
        <v>89</v>
      </c>
      <c r="H41">
        <v>95</v>
      </c>
    </row>
    <row r="42" spans="1:8" x14ac:dyDescent="0.3">
      <c r="A42" t="s">
        <v>46</v>
      </c>
      <c r="B42" t="s">
        <v>33</v>
      </c>
      <c r="C42">
        <v>15</v>
      </c>
      <c r="D42">
        <v>8</v>
      </c>
      <c r="E42" t="s">
        <v>31</v>
      </c>
      <c r="F42">
        <v>81</v>
      </c>
      <c r="G42">
        <v>90</v>
      </c>
      <c r="H42">
        <v>95</v>
      </c>
    </row>
    <row r="43" spans="1:8" x14ac:dyDescent="0.3">
      <c r="A43" t="s">
        <v>47</v>
      </c>
      <c r="B43" t="s">
        <v>33</v>
      </c>
      <c r="C43">
        <v>17</v>
      </c>
      <c r="D43">
        <v>10</v>
      </c>
      <c r="E43" t="s">
        <v>31</v>
      </c>
      <c r="F43">
        <v>70</v>
      </c>
      <c r="G43">
        <v>90</v>
      </c>
      <c r="H43">
        <v>92</v>
      </c>
    </row>
    <row r="44" spans="1:8" x14ac:dyDescent="0.3">
      <c r="A44" t="s">
        <v>48</v>
      </c>
      <c r="B44" t="s">
        <v>33</v>
      </c>
      <c r="C44">
        <v>12</v>
      </c>
      <c r="D44">
        <v>7</v>
      </c>
      <c r="E44" t="s">
        <v>34</v>
      </c>
      <c r="F44">
        <v>86</v>
      </c>
      <c r="G44">
        <v>92</v>
      </c>
      <c r="H44">
        <v>89</v>
      </c>
    </row>
    <row r="45" spans="1:8" x14ac:dyDescent="0.3">
      <c r="A45" t="s">
        <v>49</v>
      </c>
      <c r="B45" t="s">
        <v>33</v>
      </c>
      <c r="C45">
        <v>16</v>
      </c>
      <c r="D45">
        <v>10</v>
      </c>
      <c r="E45" t="s">
        <v>34</v>
      </c>
      <c r="F45">
        <v>81</v>
      </c>
      <c r="G45">
        <v>80</v>
      </c>
      <c r="H45">
        <v>87</v>
      </c>
    </row>
    <row r="46" spans="1:8" x14ac:dyDescent="0.3">
      <c r="A46" t="s">
        <v>50</v>
      </c>
      <c r="B46" t="s">
        <v>33</v>
      </c>
      <c r="C46">
        <v>16</v>
      </c>
      <c r="D46">
        <v>10</v>
      </c>
      <c r="E46" t="s">
        <v>34</v>
      </c>
      <c r="F46">
        <v>81</v>
      </c>
      <c r="G46">
        <v>80</v>
      </c>
      <c r="H46">
        <v>87</v>
      </c>
    </row>
    <row r="47" spans="1:8" x14ac:dyDescent="0.3">
      <c r="A47" t="s">
        <v>51</v>
      </c>
      <c r="B47" t="s">
        <v>28</v>
      </c>
      <c r="C47">
        <v>15</v>
      </c>
      <c r="D47">
        <v>9</v>
      </c>
      <c r="E47" t="s">
        <v>31</v>
      </c>
      <c r="F47">
        <v>87</v>
      </c>
      <c r="G47">
        <v>89</v>
      </c>
      <c r="H47">
        <v>95</v>
      </c>
    </row>
    <row r="48" spans="1:8" x14ac:dyDescent="0.3">
      <c r="A48" t="s">
        <v>52</v>
      </c>
      <c r="B48" t="s">
        <v>33</v>
      </c>
      <c r="C48">
        <v>11</v>
      </c>
      <c r="D48">
        <v>6</v>
      </c>
      <c r="E48" t="s">
        <v>31</v>
      </c>
      <c r="F48">
        <v>88</v>
      </c>
      <c r="G48">
        <v>90</v>
      </c>
      <c r="H48">
        <v>92</v>
      </c>
    </row>
    <row r="49" spans="1:8" x14ac:dyDescent="0.3">
      <c r="A49" t="s">
        <v>53</v>
      </c>
      <c r="B49" t="s">
        <v>33</v>
      </c>
      <c r="C49">
        <v>16</v>
      </c>
      <c r="D49">
        <v>10</v>
      </c>
      <c r="E49" t="s">
        <v>29</v>
      </c>
      <c r="F49">
        <v>70</v>
      </c>
      <c r="G49">
        <v>87</v>
      </c>
      <c r="H49">
        <v>85</v>
      </c>
    </row>
    <row r="50" spans="1:8" x14ac:dyDescent="0.3">
      <c r="A50" t="s">
        <v>54</v>
      </c>
      <c r="B50" t="s">
        <v>33</v>
      </c>
      <c r="C50">
        <v>14</v>
      </c>
      <c r="D50">
        <v>8</v>
      </c>
      <c r="E50" t="s">
        <v>37</v>
      </c>
      <c r="F50">
        <v>91</v>
      </c>
      <c r="G50">
        <v>96</v>
      </c>
      <c r="H50">
        <v>98</v>
      </c>
    </row>
    <row r="53" spans="1:8" ht="18" x14ac:dyDescent="0.3">
      <c r="A53" s="8" t="s">
        <v>99</v>
      </c>
    </row>
    <row r="55" spans="1:8" x14ac:dyDescent="0.3">
      <c r="A55" s="10" t="s">
        <v>66</v>
      </c>
    </row>
    <row r="56" spans="1:8" x14ac:dyDescent="0.3">
      <c r="A56" t="s">
        <v>100</v>
      </c>
    </row>
    <row r="58" spans="1:8" x14ac:dyDescent="0.3">
      <c r="A58" s="10" t="s">
        <v>101</v>
      </c>
    </row>
    <row r="59" spans="1:8" x14ac:dyDescent="0.3">
      <c r="A59" t="s">
        <v>102</v>
      </c>
    </row>
    <row r="60" spans="1:8" x14ac:dyDescent="0.3">
      <c r="A60" s="9"/>
    </row>
    <row r="61" spans="1:8" x14ac:dyDescent="0.3">
      <c r="A61" s="14" t="s">
        <v>103</v>
      </c>
    </row>
    <row r="62" spans="1:8" x14ac:dyDescent="0.3">
      <c r="A62" s="9"/>
    </row>
    <row r="63" spans="1:8" x14ac:dyDescent="0.3">
      <c r="A63" s="14" t="s">
        <v>104</v>
      </c>
    </row>
    <row r="64" spans="1:8" x14ac:dyDescent="0.3">
      <c r="A64" s="9"/>
    </row>
    <row r="65" spans="1:1" x14ac:dyDescent="0.3">
      <c r="A65" s="14" t="s">
        <v>105</v>
      </c>
    </row>
    <row r="66" spans="1:1" x14ac:dyDescent="0.3">
      <c r="A66" s="9"/>
    </row>
    <row r="67" spans="1:1" x14ac:dyDescent="0.3">
      <c r="A67" s="14" t="s">
        <v>106</v>
      </c>
    </row>
    <row r="69" spans="1:1" x14ac:dyDescent="0.3">
      <c r="A69" s="10" t="s">
        <v>70</v>
      </c>
    </row>
    <row r="70" spans="1:1" x14ac:dyDescent="0.3">
      <c r="A70" t="s">
        <v>107</v>
      </c>
    </row>
    <row r="71" spans="1:1" x14ac:dyDescent="0.3">
      <c r="A71" s="9"/>
    </row>
    <row r="72" spans="1:1" x14ac:dyDescent="0.3">
      <c r="A72" s="9" t="s">
        <v>108</v>
      </c>
    </row>
    <row r="73" spans="1:1" x14ac:dyDescent="0.3">
      <c r="A73" s="9"/>
    </row>
    <row r="74" spans="1:1" x14ac:dyDescent="0.3">
      <c r="A74" s="9" t="s">
        <v>109</v>
      </c>
    </row>
    <row r="75" spans="1:1" x14ac:dyDescent="0.3">
      <c r="A75" s="9"/>
    </row>
    <row r="76" spans="1:1" x14ac:dyDescent="0.3">
      <c r="A76" s="9" t="s">
        <v>110</v>
      </c>
    </row>
    <row r="78" spans="1:1" x14ac:dyDescent="0.3">
      <c r="A78" s="10" t="s">
        <v>77</v>
      </c>
    </row>
    <row r="79" spans="1:1" x14ac:dyDescent="0.3">
      <c r="A79" s="9"/>
    </row>
    <row r="80" spans="1:1" x14ac:dyDescent="0.3">
      <c r="A80" s="9" t="s">
        <v>111</v>
      </c>
    </row>
    <row r="81" spans="1:1" x14ac:dyDescent="0.3">
      <c r="A81" s="9"/>
    </row>
    <row r="82" spans="1:1" x14ac:dyDescent="0.3">
      <c r="A82" s="9" t="s">
        <v>112</v>
      </c>
    </row>
    <row r="83" spans="1:1" x14ac:dyDescent="0.3">
      <c r="A83" s="9"/>
    </row>
    <row r="84" spans="1:1" x14ac:dyDescent="0.3">
      <c r="A84" s="9" t="s">
        <v>113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Vlookup</vt:lpstr>
      <vt:lpstr>Hlookup</vt:lpstr>
      <vt:lpstr>Xlookup</vt:lpstr>
      <vt:lpstr>Pivot Table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Verma</dc:creator>
  <cp:lastModifiedBy>Nelli Prasanthi Rashmi</cp:lastModifiedBy>
  <dcterms:created xsi:type="dcterms:W3CDTF">2023-10-11T06:57:07Z</dcterms:created>
  <dcterms:modified xsi:type="dcterms:W3CDTF">2025-11-03T05:47:53Z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{FA3B27F2-9E52-40A5-BB57-C126BF0D8EE9}</vt:lpwstr>
  </property>
</Properties>
</file>
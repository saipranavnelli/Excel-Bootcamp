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de0c954a4e448c4/Desktop/Excel Class 6/"/>
    </mc:Choice>
  </mc:AlternateContent>
  <xr:revisionPtr revIDLastSave="4" documentId="13_ncr:1_{9A5B6A37-2F5F-4615-AC3D-A2D351F3D9F0}" xr6:coauthVersionLast="47" xr6:coauthVersionMax="47" xr10:uidLastSave="{C6B41D3A-2A4F-46F3-97D9-91AF1910D45E}"/>
  <bookViews>
    <workbookView xWindow="-110" yWindow="-110" windowWidth="19420" windowHeight="10300" xr2:uid="{985DA74E-EFB5-45D7-B434-3DA591F25061}"/>
  </bookViews>
  <sheets>
    <sheet name="Vlookup" sheetId="12" r:id="rId1"/>
    <sheet name="Hlookup" sheetId="13" r:id="rId2"/>
    <sheet name="Xlookup" sheetId="14" r:id="rId3"/>
    <sheet name="Excel Formula Examples" sheetId="19" r:id="rId4"/>
    <sheet name="Sumif" sheetId="15" r:id="rId5"/>
    <sheet name="Sumifs" sheetId="16" r:id="rId6"/>
    <sheet name="Countif" sheetId="17" r:id="rId7"/>
    <sheet name="Countifs" sheetId="18" r:id="rId8"/>
    <sheet name="Case Study 3" sheetId="3" r:id="rId9"/>
    <sheet name="Case Study 4" sheetId="4" r:id="rId10"/>
    <sheet name="Case Study 5" sheetId="5" r:id="rId11"/>
    <sheet name="Case Study 6 " sheetId="6" r:id="rId12"/>
    <sheet name="Case Study 7" sheetId="7" r:id="rId13"/>
    <sheet name="Case Study 8" sheetId="8" r:id="rId1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9" i="19" l="1"/>
  <c r="B141" i="19"/>
  <c r="B123" i="19"/>
  <c r="B105" i="19"/>
  <c r="B87" i="19"/>
  <c r="B69" i="19"/>
  <c r="B51" i="19"/>
  <c r="B33" i="19"/>
  <c r="B15" i="19"/>
  <c r="I3" i="18"/>
  <c r="I3" i="17"/>
  <c r="I3" i="16"/>
  <c r="K5" i="14" a="1"/>
  <c r="D22" i="13"/>
  <c r="D9" i="13"/>
  <c r="J26" i="12"/>
  <c r="A6" i="8"/>
  <c r="L5" i="14" l="1"/>
  <c r="K5" i="14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C6" i="8"/>
  <c r="C7" i="8" s="1"/>
  <c r="C8" i="8" s="1"/>
  <c r="C9" i="8" s="1"/>
</calcChain>
</file>

<file path=xl/sharedStrings.xml><?xml version="1.0" encoding="utf-8"?>
<sst xmlns="http://schemas.openxmlformats.org/spreadsheetml/2006/main" count="6623" uniqueCount="824">
  <si>
    <t>Product Name</t>
  </si>
  <si>
    <t>Mouse</t>
  </si>
  <si>
    <t>Monitor</t>
  </si>
  <si>
    <t>Printer</t>
  </si>
  <si>
    <t>Scanner</t>
  </si>
  <si>
    <t>Sales</t>
  </si>
  <si>
    <t>Date</t>
  </si>
  <si>
    <t>Product</t>
  </si>
  <si>
    <t>Region</t>
  </si>
  <si>
    <t>Virat Kohli</t>
  </si>
  <si>
    <t>West</t>
  </si>
  <si>
    <t>Chetan Bhagat</t>
  </si>
  <si>
    <t>North</t>
  </si>
  <si>
    <t>Arijit Singh</t>
  </si>
  <si>
    <t>South</t>
  </si>
  <si>
    <t>Neha Kakkar</t>
  </si>
  <si>
    <t>East</t>
  </si>
  <si>
    <t>Prabhu Deva</t>
  </si>
  <si>
    <t>Aishwarya Rai Bachchan</t>
  </si>
  <si>
    <t>Aman Gupta</t>
  </si>
  <si>
    <t>Jubin Nautiyal</t>
  </si>
  <si>
    <t>Peyush Bansal</t>
  </si>
  <si>
    <t>Anupam Mittal</t>
  </si>
  <si>
    <t>Namita Thapar</t>
  </si>
  <si>
    <t>Ashneer Grover</t>
  </si>
  <si>
    <t>Cross Join using Merge Queris</t>
  </si>
  <si>
    <t>Create a table such that each Employee will do every shift</t>
  </si>
  <si>
    <t>Employee Name</t>
  </si>
  <si>
    <t>Shifts</t>
  </si>
  <si>
    <t>Pavan Lalwani</t>
  </si>
  <si>
    <t>Morning</t>
  </si>
  <si>
    <t>Peter John</t>
  </si>
  <si>
    <t>Afternoon</t>
  </si>
  <si>
    <t>Mahesh Siroya</t>
  </si>
  <si>
    <t>Evening</t>
  </si>
  <si>
    <t>Palak Bharuka</t>
  </si>
  <si>
    <t>Night</t>
  </si>
  <si>
    <t>Vijay Lalwani</t>
  </si>
  <si>
    <t>Brunch</t>
  </si>
  <si>
    <t>Sonal Agrawal</t>
  </si>
  <si>
    <t>Philip Bhalerao</t>
  </si>
  <si>
    <t>Pramod Pawar</t>
  </si>
  <si>
    <t>Aprika Bharuka</t>
  </si>
  <si>
    <t>Rahul Shirude</t>
  </si>
  <si>
    <t>Kenn Black</t>
  </si>
  <si>
    <t>Pawar Deshmukh</t>
  </si>
  <si>
    <t>Peyush Bansal1</t>
  </si>
  <si>
    <t>Name</t>
  </si>
  <si>
    <t>Gender</t>
  </si>
  <si>
    <t>Age</t>
  </si>
  <si>
    <t>Male</t>
  </si>
  <si>
    <t>Bipin Kumar</t>
  </si>
  <si>
    <t>Ajinkya Deshmukh</t>
  </si>
  <si>
    <t>Mahesh Kumar</t>
  </si>
  <si>
    <t>Female</t>
  </si>
  <si>
    <t>Lynn Network</t>
  </si>
  <si>
    <t>Shon Malhotra</t>
  </si>
  <si>
    <t>Aprika Bharuak</t>
  </si>
  <si>
    <t>Abhishek</t>
  </si>
  <si>
    <t>Abhishek1</t>
  </si>
  <si>
    <t>John Cena</t>
  </si>
  <si>
    <t>Mr. Undertaker</t>
  </si>
  <si>
    <t>Gazal Alagh</t>
  </si>
  <si>
    <t>Find Common Rows in Four Tables (Inner Join)</t>
  </si>
  <si>
    <t>Merge with Fuzzy Match and Transformation Table</t>
  </si>
  <si>
    <t>Get a Correct Customer Name from left Table</t>
  </si>
  <si>
    <t>Acutal Cust Name</t>
  </si>
  <si>
    <t>Customer Name</t>
  </si>
  <si>
    <t>City</t>
  </si>
  <si>
    <t>Profit</t>
  </si>
  <si>
    <t>Pawan Lalwani</t>
  </si>
  <si>
    <t>Henderson</t>
  </si>
  <si>
    <t>Darrin Van Huff</t>
  </si>
  <si>
    <t>Los Angeles</t>
  </si>
  <si>
    <t>Sean O'Donnell</t>
  </si>
  <si>
    <t>Fort Lauderdale</t>
  </si>
  <si>
    <t>Brosina Hoffman</t>
  </si>
  <si>
    <t>Andrew Allen T</t>
  </si>
  <si>
    <t>Andrew Allen</t>
  </si>
  <si>
    <t>Concord</t>
  </si>
  <si>
    <t>Irine Madox</t>
  </si>
  <si>
    <t>Irene Maddox</t>
  </si>
  <si>
    <t>Seattle</t>
  </si>
  <si>
    <t>Harold Pawlan</t>
  </si>
  <si>
    <t>Fort Worth</t>
  </si>
  <si>
    <t>Pete Krizz</t>
  </si>
  <si>
    <t>Pete Kriz</t>
  </si>
  <si>
    <t>Madison</t>
  </si>
  <si>
    <t>Alejandro Grove</t>
  </si>
  <si>
    <t>West Jordan</t>
  </si>
  <si>
    <t>Zuschuss Donatelli</t>
  </si>
  <si>
    <t>San Francisco</t>
  </si>
  <si>
    <t>Ken Black</t>
  </si>
  <si>
    <t>Fremont</t>
  </si>
  <si>
    <t>SBI</t>
  </si>
  <si>
    <t>RBI</t>
  </si>
  <si>
    <t>HSBC</t>
  </si>
  <si>
    <t>SSBC</t>
  </si>
  <si>
    <t>Lookup Table</t>
  </si>
  <si>
    <t>Sales Table</t>
  </si>
  <si>
    <t>SalesRep</t>
  </si>
  <si>
    <t>Sales Rep</t>
  </si>
  <si>
    <t>Car Make</t>
  </si>
  <si>
    <t>Lincoln</t>
  </si>
  <si>
    <t>Agustin McIan</t>
  </si>
  <si>
    <t>Marielle Swiffen</t>
  </si>
  <si>
    <t>Ford</t>
  </si>
  <si>
    <t>Aldridge Eagles</t>
  </si>
  <si>
    <t>Zabrina Colbran</t>
  </si>
  <si>
    <t>Porsche</t>
  </si>
  <si>
    <t>Allayne Dulling</t>
  </si>
  <si>
    <t>MidWest</t>
  </si>
  <si>
    <t>Bamby Olivella</t>
  </si>
  <si>
    <t>Chevrolet</t>
  </si>
  <si>
    <t>Allina Bonas</t>
  </si>
  <si>
    <t>Morley Amor</t>
  </si>
  <si>
    <t>Volkswagen</t>
  </si>
  <si>
    <t>Antoinette Simester</t>
  </si>
  <si>
    <t>Merl Littleton</t>
  </si>
  <si>
    <t>BMW</t>
  </si>
  <si>
    <t>Baldwin Muris</t>
  </si>
  <si>
    <t>Willey Whitlow</t>
  </si>
  <si>
    <t>Selinda Smullen</t>
  </si>
  <si>
    <t>Toyota</t>
  </si>
  <si>
    <t>Baron Pirie</t>
  </si>
  <si>
    <t>Reuben Maxsted</t>
  </si>
  <si>
    <t>Honda</t>
  </si>
  <si>
    <t>Bert Battisson</t>
  </si>
  <si>
    <t>Bobina Portis</t>
  </si>
  <si>
    <t>Guthrey Kervin</t>
  </si>
  <si>
    <t>Audi</t>
  </si>
  <si>
    <t>Booth Laverenz</t>
  </si>
  <si>
    <t>Lenna Tebboth</t>
  </si>
  <si>
    <t>Cal Neate</t>
  </si>
  <si>
    <t>Rebbecca Mullin</t>
  </si>
  <si>
    <t>GMC</t>
  </si>
  <si>
    <t>Cale Cocke</t>
  </si>
  <si>
    <t>Ernst Ox</t>
  </si>
  <si>
    <t>Cam Dooney</t>
  </si>
  <si>
    <t>Nick Spenley</t>
  </si>
  <si>
    <t>Mercedes-Benz</t>
  </si>
  <si>
    <t>Carrissa Maasze</t>
  </si>
  <si>
    <t>Izak Fairbourn</t>
  </si>
  <si>
    <t>Volvo</t>
  </si>
  <si>
    <t>Celestia Roach</t>
  </si>
  <si>
    <t>Jerrine Lebang</t>
  </si>
  <si>
    <t>Dale Mapother</t>
  </si>
  <si>
    <t>Daren Borrott</t>
  </si>
  <si>
    <t>Torey Woollends</t>
  </si>
  <si>
    <t>Mercury</t>
  </si>
  <si>
    <t>Dorella Drysdall</t>
  </si>
  <si>
    <t>Eddie Rignoldes</t>
  </si>
  <si>
    <t>Bentley</t>
  </si>
  <si>
    <t>Emyle Ollivier</t>
  </si>
  <si>
    <t>Tina Faldo</t>
  </si>
  <si>
    <t>Isuzu</t>
  </si>
  <si>
    <t>Dodge</t>
  </si>
  <si>
    <t>Farlay Leverton</t>
  </si>
  <si>
    <t>Mable Rafferty</t>
  </si>
  <si>
    <t>Buick</t>
  </si>
  <si>
    <t>Felicia Birkmyre</t>
  </si>
  <si>
    <t>Sim Ardling</t>
  </si>
  <si>
    <t>Lexus</t>
  </si>
  <si>
    <t>Fergus Mattinson</t>
  </si>
  <si>
    <t>Sukey Garron</t>
  </si>
  <si>
    <t>Aston Martin</t>
  </si>
  <si>
    <t>Garv Rodgman</t>
  </si>
  <si>
    <t>Swen Lehrmann</t>
  </si>
  <si>
    <t>Lotus</t>
  </si>
  <si>
    <t>Trixi Tofanelli</t>
  </si>
  <si>
    <t>Scion</t>
  </si>
  <si>
    <t>Gwenora Sukbhans</t>
  </si>
  <si>
    <t>Hyacinthia Drake</t>
  </si>
  <si>
    <t>Phil Tift</t>
  </si>
  <si>
    <t>Pontiac</t>
  </si>
  <si>
    <t>Rhodie Twohig</t>
  </si>
  <si>
    <t>Janel Snelle</t>
  </si>
  <si>
    <t>Kristi Sandry</t>
  </si>
  <si>
    <t>Chrysler</t>
  </si>
  <si>
    <t>Janetta Noel</t>
  </si>
  <si>
    <t>Jaguar</t>
  </si>
  <si>
    <t>Jolyn Linke</t>
  </si>
  <si>
    <t>Kamillah Reimers</t>
  </si>
  <si>
    <t>Morgan McNeilley</t>
  </si>
  <si>
    <t>Hyundai</t>
  </si>
  <si>
    <t>Karina Idwal Evans</t>
  </si>
  <si>
    <t>Mazda</t>
  </si>
  <si>
    <t>Krista Canero</t>
  </si>
  <si>
    <t>Maserati</t>
  </si>
  <si>
    <t>Wallie Penwright</t>
  </si>
  <si>
    <t>Park Enrigo</t>
  </si>
  <si>
    <t>Lonee Marin</t>
  </si>
  <si>
    <t>Loree Vasilov</t>
  </si>
  <si>
    <t>Jeep</t>
  </si>
  <si>
    <t>Lyssa Rosenthaler</t>
  </si>
  <si>
    <t>Plymouth</t>
  </si>
  <si>
    <t>Malachi Farnon</t>
  </si>
  <si>
    <t>Noellyn Pendreigh</t>
  </si>
  <si>
    <t>Adaline Westberg</t>
  </si>
  <si>
    <t>Missy Cleyne</t>
  </si>
  <si>
    <t>Shaun Lawley</t>
  </si>
  <si>
    <t>Nat Middlemist</t>
  </si>
  <si>
    <t>Acura</t>
  </si>
  <si>
    <t>Infiniti</t>
  </si>
  <si>
    <t>Subaru</t>
  </si>
  <si>
    <t>Vidovic Kettlewell</t>
  </si>
  <si>
    <t>Whitaker Burchill</t>
  </si>
  <si>
    <t>Cadillac</t>
  </si>
  <si>
    <t>Ware Bottleson</t>
  </si>
  <si>
    <t>Oldsmobile</t>
  </si>
  <si>
    <t>Iggie Machen</t>
  </si>
  <si>
    <t>Kellen Babidge</t>
  </si>
  <si>
    <t>Ginevra Melia</t>
  </si>
  <si>
    <t>Gib Gravell</t>
  </si>
  <si>
    <t>Stanfield Cahalin</t>
  </si>
  <si>
    <t>Patti Kuzemka</t>
  </si>
  <si>
    <t>Candide Lillicrop</t>
  </si>
  <si>
    <t>Siusan Brightwell</t>
  </si>
  <si>
    <t>Kettie McKinnon</t>
  </si>
  <si>
    <t>Clarey Argente</t>
  </si>
  <si>
    <t>Nichole Oliva</t>
  </si>
  <si>
    <t>Even Smorthit</t>
  </si>
  <si>
    <t>Mitsubishi</t>
  </si>
  <si>
    <t>Loleta Yokelman</t>
  </si>
  <si>
    <t>Don Glaister</t>
  </si>
  <si>
    <t>Nissan</t>
  </si>
  <si>
    <t>Abigale Mewrcik</t>
  </si>
  <si>
    <t>Josi Cerith</t>
  </si>
  <si>
    <t>Torrence Melarkey</t>
  </si>
  <si>
    <t>Dennie Nangle</t>
  </si>
  <si>
    <t>Brandon Ipsgrave</t>
  </si>
  <si>
    <t>Marrissa Bridger</t>
  </si>
  <si>
    <t>Julius Senten</t>
  </si>
  <si>
    <t>Carlota Munkley</t>
  </si>
  <si>
    <t>Willem Rushbrook</t>
  </si>
  <si>
    <t>Margaretta Baldelli</t>
  </si>
  <si>
    <t>Aldis Josupeit</t>
  </si>
  <si>
    <t>Nathalia Hiley</t>
  </si>
  <si>
    <t>Juieta Rollings</t>
  </si>
  <si>
    <t>Budd Spurgin</t>
  </si>
  <si>
    <t>Brenna Haggie</t>
  </si>
  <si>
    <t>Piper Gother</t>
  </si>
  <si>
    <t>Madlen Benjamin</t>
  </si>
  <si>
    <t>Doroteya Brettelle</t>
  </si>
  <si>
    <t>Jock Sowter</t>
  </si>
  <si>
    <t>Meier Stainton - Skinn</t>
  </si>
  <si>
    <t>Kia</t>
  </si>
  <si>
    <t>Barrie Flieger</t>
  </si>
  <si>
    <t>Daisy Berggren</t>
  </si>
  <si>
    <t>Saab</t>
  </si>
  <si>
    <t>Oberon Orpyne</t>
  </si>
  <si>
    <t>Mallory Kinman</t>
  </si>
  <si>
    <t>Felicle Vaggs</t>
  </si>
  <si>
    <t>MINI</t>
  </si>
  <si>
    <t>Gaby Hoxey</t>
  </si>
  <si>
    <t>Jeremy Eva</t>
  </si>
  <si>
    <t>Shantee Norcott</t>
  </si>
  <si>
    <t>Margaux Batho</t>
  </si>
  <si>
    <t>Nick Thurber</t>
  </si>
  <si>
    <t>Merle Lumsdall</t>
  </si>
  <si>
    <t>Joell Deverille</t>
  </si>
  <si>
    <t>Belinda Stonuary</t>
  </si>
  <si>
    <t>Henrik Laise</t>
  </si>
  <si>
    <t>Samara Dullingham</t>
  </si>
  <si>
    <t>Briano Chartres</t>
  </si>
  <si>
    <t>Ebenezer Simonard</t>
  </si>
  <si>
    <t>Rolls-Royce</t>
  </si>
  <si>
    <t>Terri-jo Buxam</t>
  </si>
  <si>
    <t>Christiano Kohrding</t>
  </si>
  <si>
    <t>Kathryne Libbie</t>
  </si>
  <si>
    <t>Carlotta Sooley</t>
  </si>
  <si>
    <t>Cindie Bengtson</t>
  </si>
  <si>
    <t>Aksel Hughf</t>
  </si>
  <si>
    <t>Cirillo Doward</t>
  </si>
  <si>
    <t>Domenic Brusby</t>
  </si>
  <si>
    <t>Izaak Gulliman</t>
  </si>
  <si>
    <t>Shena Piddington</t>
  </si>
  <si>
    <t>Greta Martensen</t>
  </si>
  <si>
    <t>Tillie Pude</t>
  </si>
  <si>
    <t>Pacorro Coughan</t>
  </si>
  <si>
    <t>Farand Antonescu</t>
  </si>
  <si>
    <t>Tracee Abby</t>
  </si>
  <si>
    <t>Saloma Janaway</t>
  </si>
  <si>
    <t>Grover Dot</t>
  </si>
  <si>
    <t>Auberta Plait</t>
  </si>
  <si>
    <t>Sheeree Garfit</t>
  </si>
  <si>
    <t>Quentin Slobom</t>
  </si>
  <si>
    <t>Catherine Skettles</t>
  </si>
  <si>
    <t>Denni Winram</t>
  </si>
  <si>
    <t>Lanna Hall</t>
  </si>
  <si>
    <t>Cassondra Goadbie</t>
  </si>
  <si>
    <t>Daewoo</t>
  </si>
  <si>
    <t>Dianemarie Scherer</t>
  </si>
  <si>
    <t>Gerianna Queen</t>
  </si>
  <si>
    <t>Tildy Klimashevich</t>
  </si>
  <si>
    <t>Junia Lazell</t>
  </si>
  <si>
    <t>Hewett Raysdale</t>
  </si>
  <si>
    <t>Isobel Godard</t>
  </si>
  <si>
    <t>Sonia Turney</t>
  </si>
  <si>
    <t>Woodman Iorizzo</t>
  </si>
  <si>
    <t>Land Rover</t>
  </si>
  <si>
    <t>Elvera Honack</t>
  </si>
  <si>
    <t>Wit Trevallion</t>
  </si>
  <si>
    <t>Erskine Shasnan</t>
  </si>
  <si>
    <t>Cinnamon Spiers</t>
  </si>
  <si>
    <t>Livy Simmins</t>
  </si>
  <si>
    <t>Benny Tempest</t>
  </si>
  <si>
    <t>Arlyne Peebles</t>
  </si>
  <si>
    <t>Afton Jenoure</t>
  </si>
  <si>
    <t>Stacee Bartaloni</t>
  </si>
  <si>
    <t>Edik Le Gassick</t>
  </si>
  <si>
    <t>Leopold Mustoe</t>
  </si>
  <si>
    <t>Ford Wollacott</t>
  </si>
  <si>
    <t>Vickie Bour</t>
  </si>
  <si>
    <t>Hyacinthe Gigg</t>
  </si>
  <si>
    <t>Mariette Broxholme</t>
  </si>
  <si>
    <t>Susette O Mullen</t>
  </si>
  <si>
    <t>Leia Bevan</t>
  </si>
  <si>
    <t>Caryl Critchlow</t>
  </si>
  <si>
    <t>Mohammed Easson</t>
  </si>
  <si>
    <t>Dian Fuzzens</t>
  </si>
  <si>
    <t>Eleanora Oosthout de Vree</t>
  </si>
  <si>
    <t>Alecia Safell</t>
  </si>
  <si>
    <t>Aloysia Fossitt</t>
  </si>
  <si>
    <t>Jannelle Philipson</t>
  </si>
  <si>
    <t>Dore Kenwright</t>
  </si>
  <si>
    <t>Lishe Ville</t>
  </si>
  <si>
    <t>Vanya Wholesworth</t>
  </si>
  <si>
    <t>Tesla</t>
  </si>
  <si>
    <t>Saundra Mellody</t>
  </si>
  <si>
    <t>Darby Diack</t>
  </si>
  <si>
    <t>Gray Goodwill</t>
  </si>
  <si>
    <t>Philippa Gierth</t>
  </si>
  <si>
    <t>Sharai Pieche</t>
  </si>
  <si>
    <t>Aldous Clint</t>
  </si>
  <si>
    <t>Lacey Marjanski</t>
  </si>
  <si>
    <t>Shelbi Ninnoli</t>
  </si>
  <si>
    <t>Lamborghini</t>
  </si>
  <si>
    <t>Emmalyn Merricks</t>
  </si>
  <si>
    <t>Marion Bodiam</t>
  </si>
  <si>
    <t>Rochella Ricard</t>
  </si>
  <si>
    <t>Katharine Clendinning</t>
  </si>
  <si>
    <t>Sibyl Bonwell</t>
  </si>
  <si>
    <t>Veradis Hilling</t>
  </si>
  <si>
    <t>Axe Ruddoch</t>
  </si>
  <si>
    <t>Georg Awty</t>
  </si>
  <si>
    <t>Delcina Rotchell</t>
  </si>
  <si>
    <t>Ericha Handmore</t>
  </si>
  <si>
    <t>Rica Wildey</t>
  </si>
  <si>
    <t>Zorina Salla</t>
  </si>
  <si>
    <t>Brinna Speachley</t>
  </si>
  <si>
    <t>Ricky Potier</t>
  </si>
  <si>
    <t>Fremont Sheeres</t>
  </si>
  <si>
    <t>Tremaine Scurrey</t>
  </si>
  <si>
    <t>Abra D'Antuoni</t>
  </si>
  <si>
    <t>Jarib Chasen</t>
  </si>
  <si>
    <t>Genni Lassells</t>
  </si>
  <si>
    <t>Ashlee McMillan</t>
  </si>
  <si>
    <t>Farris Willishire</t>
  </si>
  <si>
    <t>Cyrus Batty</t>
  </si>
  <si>
    <t>Jed Carff</t>
  </si>
  <si>
    <t>Sergent Jarlmann</t>
  </si>
  <si>
    <t>Alexi Ogdahl</t>
  </si>
  <si>
    <t>Heath Lambart</t>
  </si>
  <si>
    <t>Johnnie Drieu</t>
  </si>
  <si>
    <t>Hummer</t>
  </si>
  <si>
    <t>Rad Veart</t>
  </si>
  <si>
    <t>Danny Carslake</t>
  </si>
  <si>
    <t>Kimball Poulgreen</t>
  </si>
  <si>
    <t>Kasey Tenby</t>
  </si>
  <si>
    <t>Maybach</t>
  </si>
  <si>
    <t>Saunderson Springer</t>
  </si>
  <si>
    <t>Arney Peace</t>
  </si>
  <si>
    <t>Brita Cansdell</t>
  </si>
  <si>
    <t>Nefen Woloschinski</t>
  </si>
  <si>
    <t>Gayle Rakes</t>
  </si>
  <si>
    <t>Corbin</t>
  </si>
  <si>
    <t>Rochella Snookes</t>
  </si>
  <si>
    <t>Beaufort Blanning</t>
  </si>
  <si>
    <t>Glen Grabb</t>
  </si>
  <si>
    <t>Belinda Bohan</t>
  </si>
  <si>
    <t>Hernando Accum</t>
  </si>
  <si>
    <t>Miner Willcot</t>
  </si>
  <si>
    <t>Dennet Stavers</t>
  </si>
  <si>
    <t>Gerrie Crean</t>
  </si>
  <si>
    <t>Sephira Nesby</t>
  </si>
  <si>
    <t>Kessia Sevin</t>
  </si>
  <si>
    <t>Valentine Shiliton</t>
  </si>
  <si>
    <t>Sarena Fullager</t>
  </si>
  <si>
    <t>Hadleigh Nevinson</t>
  </si>
  <si>
    <t>Jarred Wards</t>
  </si>
  <si>
    <t>Orbadiah Ivanchov</t>
  </si>
  <si>
    <t>Florian Klossek</t>
  </si>
  <si>
    <t>Kermit Buttel</t>
  </si>
  <si>
    <t>Ram</t>
  </si>
  <si>
    <t>Andris Terbeek</t>
  </si>
  <si>
    <t>Luca Rich</t>
  </si>
  <si>
    <t>Olenolin Silburn</t>
  </si>
  <si>
    <t>Konstanze Andrus</t>
  </si>
  <si>
    <t>Jayne Noel</t>
  </si>
  <si>
    <t>Clarisse Babcock</t>
  </si>
  <si>
    <t>Jerrilee Caltera</t>
  </si>
  <si>
    <t>Roobbie Casperri</t>
  </si>
  <si>
    <t>Colly Hamner</t>
  </si>
  <si>
    <t>Clo Lamey</t>
  </si>
  <si>
    <t>Carmen Rowles</t>
  </si>
  <si>
    <t>Gabby Shorthill</t>
  </si>
  <si>
    <t>Leeland Pleasance</t>
  </si>
  <si>
    <t>Nathanial Shearwood</t>
  </si>
  <si>
    <t>Berty Lehrian</t>
  </si>
  <si>
    <t>Raffarty Dacre</t>
  </si>
  <si>
    <t>Waylon Bilam</t>
  </si>
  <si>
    <t>Carolan Soden</t>
  </si>
  <si>
    <t>Cass Bonsul</t>
  </si>
  <si>
    <t>Christina Uphill</t>
  </si>
  <si>
    <t>Kinna Bole</t>
  </si>
  <si>
    <t>Dur Stockwell</t>
  </si>
  <si>
    <t>Sherri Tidmas</t>
  </si>
  <si>
    <t>Hillie Sheerin</t>
  </si>
  <si>
    <t>Royall Dossantos</t>
  </si>
  <si>
    <t>Alyda Cuppitt</t>
  </si>
  <si>
    <t>Jacquenette Yellop</t>
  </si>
  <si>
    <t>Ermanno Fullstone</t>
  </si>
  <si>
    <t>Joelle Keeney</t>
  </si>
  <si>
    <t>Rudiger Tremayne</t>
  </si>
  <si>
    <t>Andre Eldred</t>
  </si>
  <si>
    <t>Jorey Mendenhall</t>
  </si>
  <si>
    <t>Cathy Galsworthy</t>
  </si>
  <si>
    <t>Guthrey Werlock</t>
  </si>
  <si>
    <t>Corine Lettson</t>
  </si>
  <si>
    <t>Shadow Colebourne</t>
  </si>
  <si>
    <t>Baillie Volleth</t>
  </si>
  <si>
    <t>Susette Danser</t>
  </si>
  <si>
    <t>Bradford Sheehy</t>
  </si>
  <si>
    <t>Farris Frankham</t>
  </si>
  <si>
    <t>Virgilio Apthorpe</t>
  </si>
  <si>
    <t>Janka Spowage</t>
  </si>
  <si>
    <t>Kary Lovelock</t>
  </si>
  <si>
    <t>Milly Enevoldsen</t>
  </si>
  <si>
    <t>Phoebe Woolerton</t>
  </si>
  <si>
    <t>Kym Wheelwright</t>
  </si>
  <si>
    <t>Brew Manion</t>
  </si>
  <si>
    <t>Pinchas Sconce</t>
  </si>
  <si>
    <t>Shandra Harvard</t>
  </si>
  <si>
    <t>Demetrius Burgwyn</t>
  </si>
  <si>
    <t>Theodosia McDougle</t>
  </si>
  <si>
    <t>Studebaker</t>
  </si>
  <si>
    <t>Tobie Crewther</t>
  </si>
  <si>
    <t>Karry Leehane</t>
  </si>
  <si>
    <t>Agnola Hiley</t>
  </si>
  <si>
    <t>Amandie Onn</t>
  </si>
  <si>
    <t>Gallagher Palister</t>
  </si>
  <si>
    <t>Fayette Twine</t>
  </si>
  <si>
    <t>Alic Whithorn</t>
  </si>
  <si>
    <t>Moss Jollands</t>
  </si>
  <si>
    <t>Edgar Payfoot</t>
  </si>
  <si>
    <t>Abigale Paffot</t>
  </si>
  <si>
    <t>Everard Shoebrook</t>
  </si>
  <si>
    <t>Almeda Bywater</t>
  </si>
  <si>
    <t>Ranee Arro</t>
  </si>
  <si>
    <t>Saturn</t>
  </si>
  <si>
    <t>Giff Primarolo</t>
  </si>
  <si>
    <t>Veradis Broadberry</t>
  </si>
  <si>
    <t>Courtnay Baudic</t>
  </si>
  <si>
    <t>Koral Neely</t>
  </si>
  <si>
    <t>Fredrick Simonazzi</t>
  </si>
  <si>
    <t>Panoz</t>
  </si>
  <si>
    <t>Sharleen McIlvaney</t>
  </si>
  <si>
    <t>Maddy Zannini</t>
  </si>
  <si>
    <t>Yvon Cavnor</t>
  </si>
  <si>
    <t>Dacie De Clairmont</t>
  </si>
  <si>
    <t>Gottfried Halston</t>
  </si>
  <si>
    <t>Suzuki</t>
  </si>
  <si>
    <t>Cleve Allworthy</t>
  </si>
  <si>
    <t>Bridgette Huscroft</t>
  </si>
  <si>
    <t>Peyton Ferrucci</t>
  </si>
  <si>
    <t>Killy Burndred</t>
  </si>
  <si>
    <t>Derward Edelheit</t>
  </si>
  <si>
    <t>Jeremy Thowless</t>
  </si>
  <si>
    <t>Onfroi Melmeth</t>
  </si>
  <si>
    <t>Tracy Capp</t>
  </si>
  <si>
    <t>Vonni Barringer</t>
  </si>
  <si>
    <t>Nolie Small</t>
  </si>
  <si>
    <t>Betsy Haly</t>
  </si>
  <si>
    <t>Bealle Riddiford</t>
  </si>
  <si>
    <t>Rolfe Scobbie</t>
  </si>
  <si>
    <t>Filide Dusting</t>
  </si>
  <si>
    <t>Irving Meijer</t>
  </si>
  <si>
    <t>Giusto Oen</t>
  </si>
  <si>
    <t>Alexine Holdren</t>
  </si>
  <si>
    <t>Lela Conley</t>
  </si>
  <si>
    <t>Tiphany Cottem</t>
  </si>
  <si>
    <t>Alvira Andersson</t>
  </si>
  <si>
    <t>Frederic Helstrom</t>
  </si>
  <si>
    <t>Hadley Laville</t>
  </si>
  <si>
    <t>Codie Tolson</t>
  </si>
  <si>
    <t>Woodrow Moores</t>
  </si>
  <si>
    <t>Frasquito Hourican</t>
  </si>
  <si>
    <t>Issie Eastam</t>
  </si>
  <si>
    <t>Haroun Cassius</t>
  </si>
  <si>
    <t>Catherina Rookeby</t>
  </si>
  <si>
    <t>Danette Harower</t>
  </si>
  <si>
    <t>Debor Mongan</t>
  </si>
  <si>
    <t>Guntar Pyer</t>
  </si>
  <si>
    <t>Ekaterina Granville</t>
  </si>
  <si>
    <t>Benoite Grady</t>
  </si>
  <si>
    <t>Marven McInteer</t>
  </si>
  <si>
    <t>Adrian Hamblett</t>
  </si>
  <si>
    <t>Gabi Lurner</t>
  </si>
  <si>
    <t>Gisella Bonanno</t>
  </si>
  <si>
    <t>Gloria Kristof</t>
  </si>
  <si>
    <t>Dar Arons</t>
  </si>
  <si>
    <t>Aubrey Delea</t>
  </si>
  <si>
    <t>Andree O'Cullen</t>
  </si>
  <si>
    <t>Astrix Burness</t>
  </si>
  <si>
    <t>Willetta Hargitt</t>
  </si>
  <si>
    <t>Lotta Rue</t>
  </si>
  <si>
    <t>Gwenette Wigmore</t>
  </si>
  <si>
    <t>Serena Gaines</t>
  </si>
  <si>
    <t>Phoebe Zywicki</t>
  </si>
  <si>
    <t>Katya Bernhart</t>
  </si>
  <si>
    <t>Suzette Darrach</t>
  </si>
  <si>
    <t>CitroÃ«n</t>
  </si>
  <si>
    <t>Judas Bidewell</t>
  </si>
  <si>
    <t>Caterina Oldcroft</t>
  </si>
  <si>
    <t>Dieter Swanwick</t>
  </si>
  <si>
    <t>Kienan Wilber</t>
  </si>
  <si>
    <t>Alberto Loder</t>
  </si>
  <si>
    <t>Sonja Sevior</t>
  </si>
  <si>
    <t>Ora Byrnes</t>
  </si>
  <si>
    <t>Garfield MacCallum</t>
  </si>
  <si>
    <t>Virgie Schirach</t>
  </si>
  <si>
    <t>Chucho Iglesias</t>
  </si>
  <si>
    <t>Corbin Perrelli</t>
  </si>
  <si>
    <t>Sherilyn Ayscough</t>
  </si>
  <si>
    <t>Waring Rizzone</t>
  </si>
  <si>
    <t>Roy Slewcock</t>
  </si>
  <si>
    <t>Benedicto Banasik</t>
  </si>
  <si>
    <t>Vince Geere</t>
  </si>
  <si>
    <t>Rooney Ondrich</t>
  </si>
  <si>
    <t>Perla Kaemena</t>
  </si>
  <si>
    <t>Slade Worsfield</t>
  </si>
  <si>
    <t>Rochette Barneveld</t>
  </si>
  <si>
    <t>Joela Winters</t>
  </si>
  <si>
    <t>Janene Scaysbrook</t>
  </si>
  <si>
    <t>Gaylene Kybert</t>
  </si>
  <si>
    <t>Dorrie Danick</t>
  </si>
  <si>
    <t>Alister Powney</t>
  </si>
  <si>
    <t>Stephie Douglas</t>
  </si>
  <si>
    <t>Langsdon Cornelleau</t>
  </si>
  <si>
    <t>Onfroi Laye</t>
  </si>
  <si>
    <t>Jeffie Diggar</t>
  </si>
  <si>
    <t>Patrice Gownge</t>
  </si>
  <si>
    <t>Austin</t>
  </si>
  <si>
    <t>Axe Bendtsen</t>
  </si>
  <si>
    <t>Sanderson Sheryn</t>
  </si>
  <si>
    <t>Maxim Uren</t>
  </si>
  <si>
    <t>Lauree Isacsson</t>
  </si>
  <si>
    <t>Eada Caccavella</t>
  </si>
  <si>
    <t>Vincents Antyukhin</t>
  </si>
  <si>
    <t>Mortie Darth</t>
  </si>
  <si>
    <t>Vicky Haysey</t>
  </si>
  <si>
    <t>Tobi Wiskar</t>
  </si>
  <si>
    <t>Hazel Fincken</t>
  </si>
  <si>
    <t>Mala Kenwin</t>
  </si>
  <si>
    <t>Virgil Royle</t>
  </si>
  <si>
    <t>Hartwell Lerego</t>
  </si>
  <si>
    <t>Herculie Capaldo</t>
  </si>
  <si>
    <t>Catlee O'Geaney</t>
  </si>
  <si>
    <t>Daffi Corp</t>
  </si>
  <si>
    <t>Gerta Sneezum</t>
  </si>
  <si>
    <t>Carissa Riggeard</t>
  </si>
  <si>
    <t>Candra Stowe</t>
  </si>
  <si>
    <t>Naomi Nibloe</t>
  </si>
  <si>
    <t>Consalve Davidof</t>
  </si>
  <si>
    <t>Sascha Durling</t>
  </si>
  <si>
    <t>Norri Costard</t>
  </si>
  <si>
    <t>George Carwardine</t>
  </si>
  <si>
    <t>Marlon Reuben</t>
  </si>
  <si>
    <t>Paquito Chapple</t>
  </si>
  <si>
    <t>Jan Cowndley</t>
  </si>
  <si>
    <t>Annadiana Calan</t>
  </si>
  <si>
    <t>Nikolai Drewry</t>
  </si>
  <si>
    <t>Tristan Leeson</t>
  </si>
  <si>
    <t>Orion Cotelard</t>
  </si>
  <si>
    <t>Tarah Sollis</t>
  </si>
  <si>
    <t>Norbert Varne</t>
  </si>
  <si>
    <t>Booth Ceccoli</t>
  </si>
  <si>
    <t>Nicolis Stollman</t>
  </si>
  <si>
    <t>Sullivan Peers</t>
  </si>
  <si>
    <t>Ariella Soffe</t>
  </si>
  <si>
    <t>Livvie Petett</t>
  </si>
  <si>
    <t>Myranda Penddreth</t>
  </si>
  <si>
    <t>Fran Blackah</t>
  </si>
  <si>
    <t>Lira Hyett</t>
  </si>
  <si>
    <t>Selestina Roycroft</t>
  </si>
  <si>
    <t>Gino Stickney</t>
  </si>
  <si>
    <t>Kristen Feakins</t>
  </si>
  <si>
    <t>Alicia Franchioni</t>
  </si>
  <si>
    <t>Eddy Walas</t>
  </si>
  <si>
    <t>Kenyon Glazzard</t>
  </si>
  <si>
    <t>Maisey McCrystal</t>
  </si>
  <si>
    <t>Loren Peak</t>
  </si>
  <si>
    <t>Yorker Ubee</t>
  </si>
  <si>
    <t>Sharron Brozsset</t>
  </si>
  <si>
    <t>Meagan Maddison</t>
  </si>
  <si>
    <t>Ryley Starton</t>
  </si>
  <si>
    <t>Skell Yatman</t>
  </si>
  <si>
    <t>Karney Fawley</t>
  </si>
  <si>
    <t>Celisse Skill</t>
  </si>
  <si>
    <t>Nicoli Ashard</t>
  </si>
  <si>
    <t>Wynnie Sprouls</t>
  </si>
  <si>
    <t>Hersch Goodanew</t>
  </si>
  <si>
    <t>Kristine Huddy</t>
  </si>
  <si>
    <t>Alphonso Layton</t>
  </si>
  <si>
    <t>Ferguson Eaglestone</t>
  </si>
  <si>
    <t>Bonni Kristufek</t>
  </si>
  <si>
    <t>Gunner Dechelette</t>
  </si>
  <si>
    <t>Erica Leyden</t>
  </si>
  <si>
    <t>Leticia Orr</t>
  </si>
  <si>
    <t>Smith Moneti</t>
  </si>
  <si>
    <t>Batsheva Bear</t>
  </si>
  <si>
    <t>Aili Berthot</t>
  </si>
  <si>
    <t>Donni Bollam</t>
  </si>
  <si>
    <t>Bonny Denslow</t>
  </si>
  <si>
    <t>Marie Samwaye</t>
  </si>
  <si>
    <t>Flin Skurm</t>
  </si>
  <si>
    <t>Cad Amdohr</t>
  </si>
  <si>
    <t>Johnath Palfree</t>
  </si>
  <si>
    <t>Glori Greggs</t>
  </si>
  <si>
    <t>Anna-diane Bardnam</t>
  </si>
  <si>
    <t>Rosamund Benedicte</t>
  </si>
  <si>
    <t>Munroe Rochelle</t>
  </si>
  <si>
    <t>Priscella Westcot</t>
  </si>
  <si>
    <t>Sophronia Kirkbright</t>
  </si>
  <si>
    <t>Megan Biasio</t>
  </si>
  <si>
    <t>Osbert Stouther</t>
  </si>
  <si>
    <t>Jake Knolles-Green</t>
  </si>
  <si>
    <t>Wandie Jagg</t>
  </si>
  <si>
    <t>Jarred Klampk</t>
  </si>
  <si>
    <t>Hilton Brierton</t>
  </si>
  <si>
    <t>Ofilia Samett</t>
  </si>
  <si>
    <t>Carola Karlsen</t>
  </si>
  <si>
    <t>Myrta Adshad</t>
  </si>
  <si>
    <t>Jeremie Collingwood</t>
  </si>
  <si>
    <t>Product Type</t>
  </si>
  <si>
    <t>Discount</t>
  </si>
  <si>
    <t>Product Group</t>
  </si>
  <si>
    <t>Quad</t>
  </si>
  <si>
    <t>Freestyle</t>
  </si>
  <si>
    <t>Pragati</t>
  </si>
  <si>
    <t>Tri Fly</t>
  </si>
  <si>
    <t>BellenGroup</t>
  </si>
  <si>
    <t>Bellen Dancer</t>
  </si>
  <si>
    <t>Bellen</t>
  </si>
  <si>
    <t>Carlota</t>
  </si>
  <si>
    <t>Bellen Jugglers</t>
  </si>
  <si>
    <t>MTA</t>
  </si>
  <si>
    <t>Icarus</t>
  </si>
  <si>
    <t>BeginnerGroup</t>
  </si>
  <si>
    <t>SunshineGroup</t>
  </si>
  <si>
    <t>Sunshine</t>
  </si>
  <si>
    <t>Doublers</t>
  </si>
  <si>
    <t>Carlota Doublers</t>
  </si>
  <si>
    <t>Sunset</t>
  </si>
  <si>
    <t>Sunbell</t>
  </si>
  <si>
    <t>FastCatch</t>
  </si>
  <si>
    <t>Frido</t>
  </si>
  <si>
    <t>Sunspot</t>
  </si>
  <si>
    <t>Majestic Beaut</t>
  </si>
  <si>
    <t>AussieRound</t>
  </si>
  <si>
    <t>Distance</t>
  </si>
  <si>
    <t>Dan Special</t>
  </si>
  <si>
    <t>Darnell</t>
  </si>
  <si>
    <t>Flattop</t>
  </si>
  <si>
    <t>Weighted Sunset</t>
  </si>
  <si>
    <t>Frido Doublers</t>
  </si>
  <si>
    <t>Gel Fast</t>
  </si>
  <si>
    <t>Manu</t>
  </si>
  <si>
    <t>Bower Doublers</t>
  </si>
  <si>
    <t>Jonas</t>
  </si>
  <si>
    <t>Tri MTA</t>
  </si>
  <si>
    <t>Merge Queries  - Get only Working days</t>
  </si>
  <si>
    <t>1) Exlude Weekends where employees don't work - Saturdays and Sundays</t>
  </si>
  <si>
    <t>2) Exclude Holidays and give only working days</t>
  </si>
  <si>
    <t>Dates Available</t>
  </si>
  <si>
    <t>Holidays</t>
  </si>
  <si>
    <t>Definition:</t>
  </si>
  <si>
    <t>Example:</t>
  </si>
  <si>
    <t>Use Cases:</t>
  </si>
  <si>
    <t>vlookup</t>
  </si>
  <si>
    <t>Class</t>
  </si>
  <si>
    <t>Unit Test 1</t>
  </si>
  <si>
    <t>Unit Test 2</t>
  </si>
  <si>
    <t>Final Test</t>
  </si>
  <si>
    <t>Abhimanyu</t>
  </si>
  <si>
    <t>M</t>
  </si>
  <si>
    <t>Vrinda</t>
  </si>
  <si>
    <t>Arjun</t>
  </si>
  <si>
    <t>Gopi</t>
  </si>
  <si>
    <t>Champa</t>
  </si>
  <si>
    <t>F</t>
  </si>
  <si>
    <t>Madhav</t>
  </si>
  <si>
    <t>Gopal</t>
  </si>
  <si>
    <t>Hari</t>
  </si>
  <si>
    <t>Indu</t>
  </si>
  <si>
    <t>Keshav</t>
  </si>
  <si>
    <t>Lalita</t>
  </si>
  <si>
    <t>Sudevi</t>
  </si>
  <si>
    <t>Vidya</t>
  </si>
  <si>
    <t>Visakha</t>
  </si>
  <si>
    <t>Employee ID</t>
  </si>
  <si>
    <t>Salary</t>
  </si>
  <si>
    <t>Bonus</t>
  </si>
  <si>
    <t>Rajat L</t>
  </si>
  <si>
    <t>Neha A</t>
  </si>
  <si>
    <t>Namit J</t>
  </si>
  <si>
    <t>Kriya V</t>
  </si>
  <si>
    <t>Mohd Y</t>
  </si>
  <si>
    <t>Lokesh R</t>
  </si>
  <si>
    <t>Chris G</t>
  </si>
  <si>
    <t>Rakesh B</t>
  </si>
  <si>
    <t>Santosh B</t>
  </si>
  <si>
    <t>Vikas C</t>
  </si>
  <si>
    <t>Vivek D</t>
  </si>
  <si>
    <t>Bharat G</t>
  </si>
  <si>
    <t>Nilesh S</t>
  </si>
  <si>
    <t>🧩 1. VLOOKUP (Vertical Lookup)</t>
  </si>
  <si>
    <r>
      <t xml:space="preserve">VLOOKUP stands for </t>
    </r>
    <r>
      <rPr>
        <b/>
        <sz val="11"/>
        <color theme="1"/>
        <rFont val="Calibri"/>
        <family val="2"/>
      </rPr>
      <t>Vertical Lookup</t>
    </r>
    <r>
      <rPr>
        <sz val="11"/>
        <color theme="1"/>
        <rFont val="Aptos Narrow"/>
        <family val="2"/>
        <scheme val="minor"/>
      </rPr>
      <t xml:space="preserve">. It searches for a value in the </t>
    </r>
    <r>
      <rPr>
        <b/>
        <sz val="11"/>
        <color theme="1"/>
        <rFont val="Calibri"/>
        <family val="2"/>
      </rPr>
      <t>first column</t>
    </r>
    <r>
      <rPr>
        <sz val="11"/>
        <color theme="1"/>
        <rFont val="Aptos Narrow"/>
        <family val="2"/>
        <scheme val="minor"/>
      </rPr>
      <t xml:space="preserve"> of a table and returns a value from another column in the </t>
    </r>
    <r>
      <rPr>
        <b/>
        <sz val="11"/>
        <color theme="1"/>
        <rFont val="Calibri"/>
        <family val="2"/>
      </rPr>
      <t>same row</t>
    </r>
    <r>
      <rPr>
        <sz val="11"/>
        <color theme="1"/>
        <rFont val="Aptos Narrow"/>
        <family val="2"/>
        <scheme val="minor"/>
      </rPr>
      <t>.</t>
    </r>
  </si>
  <si>
    <t>Formula:</t>
  </si>
  <si>
    <t>=VLOOKUP(lookup_value, table_array, col_index_num, [range_lookup])</t>
  </si>
  <si>
    <t>If you have a list of students with marks:</t>
  </si>
  <si>
    <t>Marks</t>
  </si>
  <si>
    <t>Sita</t>
  </si>
  <si>
    <t>To find Sita’s marks:</t>
  </si>
  <si>
    <r>
      <t>=VLOOKUP("Sita", A2:B5, 2, FALSE)</t>
    </r>
    <r>
      <rPr>
        <sz val="11"/>
        <color theme="1"/>
        <rFont val="Aptos Narrow"/>
        <family val="2"/>
        <scheme val="minor"/>
      </rPr>
      <t xml:space="preserve"> → returns </t>
    </r>
    <r>
      <rPr>
        <b/>
        <sz val="11"/>
        <color theme="1"/>
        <rFont val="Calibri"/>
        <family val="2"/>
      </rPr>
      <t>90</t>
    </r>
  </si>
  <si>
    <t>To find product prices from a list</t>
  </si>
  <si>
    <t>To get employee details based on ID</t>
  </si>
  <si>
    <t>To fetch student marks from a database</t>
  </si>
  <si>
    <t>Hlookup</t>
  </si>
  <si>
    <t>Xlookup</t>
  </si>
  <si>
    <t>🧩 2. HLOOKUP (Horizontal Lookup)</t>
  </si>
  <si>
    <r>
      <t xml:space="preserve">HLOOKUP stands for </t>
    </r>
    <r>
      <rPr>
        <b/>
        <sz val="11"/>
        <color theme="1"/>
        <rFont val="Calibri"/>
        <family val="2"/>
      </rPr>
      <t>Horizontal Lookup</t>
    </r>
    <r>
      <rPr>
        <sz val="11"/>
        <color theme="1"/>
        <rFont val="Aptos Narrow"/>
        <family val="2"/>
        <scheme val="minor"/>
      </rPr>
      <t xml:space="preserve">. It searches for a value in the </t>
    </r>
    <r>
      <rPr>
        <b/>
        <sz val="11"/>
        <color theme="1"/>
        <rFont val="Calibri"/>
        <family val="2"/>
      </rPr>
      <t>first row</t>
    </r>
    <r>
      <rPr>
        <sz val="11"/>
        <color theme="1"/>
        <rFont val="Aptos Narrow"/>
        <family val="2"/>
        <scheme val="minor"/>
      </rPr>
      <t xml:space="preserve"> of a table and returns a value from a specified row in the </t>
    </r>
    <r>
      <rPr>
        <b/>
        <sz val="11"/>
        <color theme="1"/>
        <rFont val="Calibri"/>
        <family val="2"/>
      </rPr>
      <t>same column</t>
    </r>
    <r>
      <rPr>
        <sz val="11"/>
        <color theme="1"/>
        <rFont val="Aptos Narrow"/>
        <family val="2"/>
        <scheme val="minor"/>
      </rPr>
      <t>.</t>
    </r>
  </si>
  <si>
    <t>=HLOOKUP(lookup_value, table_array, row_index_num, [range_lookup])</t>
  </si>
  <si>
    <t>Ravi</t>
  </si>
  <si>
    <r>
      <t>=HLOOKUP("Sita", A1:D2, 2, FALSE)</t>
    </r>
    <r>
      <rPr>
        <sz val="11"/>
        <color theme="1"/>
        <rFont val="Aptos Narrow"/>
        <family val="2"/>
        <scheme val="minor"/>
      </rPr>
      <t xml:space="preserve"> → returns </t>
    </r>
    <r>
      <rPr>
        <b/>
        <sz val="11"/>
        <color theme="1"/>
        <rFont val="Calibri"/>
        <family val="2"/>
      </rPr>
      <t>90</t>
    </r>
  </si>
  <si>
    <r>
      <t xml:space="preserve">When your data is arranged </t>
    </r>
    <r>
      <rPr>
        <b/>
        <sz val="11"/>
        <color theme="1"/>
        <rFont val="Calibri"/>
        <family val="2"/>
      </rPr>
      <t>horizontally</t>
    </r>
  </si>
  <si>
    <t>To lookup values across top rows (e.g., month names, department headers)</t>
  </si>
  <si>
    <t>🧩 3. XLOOKUP (Advanced Lookup)</t>
  </si>
  <si>
    <r>
      <t>XLOOKUP</t>
    </r>
    <r>
      <rPr>
        <sz val="11"/>
        <color theme="1"/>
        <rFont val="Aptos Narrow"/>
        <family val="2"/>
        <scheme val="minor"/>
      </rPr>
      <t xml:space="preserve"> is the </t>
    </r>
    <r>
      <rPr>
        <b/>
        <sz val="11"/>
        <color theme="1"/>
        <rFont val="Calibri"/>
        <family val="2"/>
      </rPr>
      <t>modern and improved version</t>
    </r>
    <r>
      <rPr>
        <sz val="11"/>
        <color theme="1"/>
        <rFont val="Aptos Narrow"/>
        <family val="2"/>
        <scheme val="minor"/>
      </rPr>
      <t xml:space="preserve"> of VLOOKUP and HLOOKUP. It can look </t>
    </r>
    <r>
      <rPr>
        <b/>
        <sz val="11"/>
        <color theme="1"/>
        <rFont val="Calibri"/>
        <family val="2"/>
      </rPr>
      <t>both vertically and horizontally</t>
    </r>
    <r>
      <rPr>
        <sz val="11"/>
        <color theme="1"/>
        <rFont val="Aptos Narrow"/>
        <family val="2"/>
        <scheme val="minor"/>
      </rPr>
      <t xml:space="preserve"> and doesn’t require the lookup column to be the first one.</t>
    </r>
  </si>
  <si>
    <t>=XLOOKUP(lookup_value, lookup_array, return_array, [if_not_found])</t>
  </si>
  <si>
    <r>
      <t>=XLOOKUP("Sita", A2:A5, B2:B5, "Not Found")</t>
    </r>
    <r>
      <rPr>
        <sz val="11"/>
        <color theme="1"/>
        <rFont val="Aptos Narrow"/>
        <family val="2"/>
        <scheme val="minor"/>
      </rPr>
      <t xml:space="preserve"> → returns </t>
    </r>
    <r>
      <rPr>
        <b/>
        <sz val="11"/>
        <color theme="1"/>
        <rFont val="Calibri"/>
        <family val="2"/>
      </rPr>
      <t>90</t>
    </r>
  </si>
  <si>
    <t>Advantages over VLOOKUP:</t>
  </si>
  <si>
    <r>
      <t xml:space="preserve">Works </t>
    </r>
    <r>
      <rPr>
        <b/>
        <sz val="11"/>
        <color theme="1"/>
        <rFont val="Calibri"/>
        <family val="2"/>
      </rPr>
      <t>both ways</t>
    </r>
    <r>
      <rPr>
        <sz val="11"/>
        <color theme="1"/>
        <rFont val="Aptos Narrow"/>
        <family val="2"/>
        <scheme val="minor"/>
      </rPr>
      <t xml:space="preserve"> (left-to-right or right-to-left)</t>
    </r>
  </si>
  <si>
    <r>
      <t>No column number</t>
    </r>
    <r>
      <rPr>
        <sz val="11"/>
        <color theme="1"/>
        <rFont val="Aptos Narrow"/>
        <family val="2"/>
        <scheme val="minor"/>
      </rPr>
      <t xml:space="preserve"> needed</t>
    </r>
  </si>
  <si>
    <r>
      <t xml:space="preserve">Allows </t>
    </r>
    <r>
      <rPr>
        <b/>
        <sz val="11"/>
        <color theme="1"/>
        <rFont val="Calibri"/>
        <family val="2"/>
      </rPr>
      <t>default value</t>
    </r>
    <r>
      <rPr>
        <sz val="11"/>
        <color theme="1"/>
        <rFont val="Aptos Narrow"/>
        <family val="2"/>
        <scheme val="minor"/>
      </rPr>
      <t xml:space="preserve"> if not found</t>
    </r>
  </si>
  <si>
    <t>Easier and more flexible</t>
  </si>
  <si>
    <t>To replace complex VLOOKUP/HLOOKUP functions</t>
  </si>
  <si>
    <t>For cleaner and faster lookups in modern Excel versions</t>
  </si>
  <si>
    <t>Seller Name</t>
  </si>
  <si>
    <t>Qty Sold</t>
  </si>
  <si>
    <t>Total Qty Sold</t>
  </si>
  <si>
    <t>Ram Traders</t>
  </si>
  <si>
    <t>scanner</t>
  </si>
  <si>
    <t xml:space="preserve">Rajesh </t>
  </si>
  <si>
    <t>Shivam</t>
  </si>
  <si>
    <t>Sethi</t>
  </si>
  <si>
    <t>west</t>
  </si>
  <si>
    <t>Rahul</t>
  </si>
  <si>
    <t>Aman</t>
  </si>
  <si>
    <t>Sohan</t>
  </si>
  <si>
    <t>Chandu</t>
  </si>
  <si>
    <t>Rohan</t>
  </si>
  <si>
    <t>Sonu</t>
  </si>
  <si>
    <t>Printer HP</t>
  </si>
  <si>
    <t>*mouse*</t>
  </si>
  <si>
    <t>HP Scanner</t>
  </si>
  <si>
    <t>HCL Monitor</t>
  </si>
  <si>
    <t>Mouse HP</t>
  </si>
  <si>
    <t>HCL Printer</t>
  </si>
  <si>
    <t>Monitor 32" HCL</t>
  </si>
  <si>
    <t>Mouse HP PS2</t>
  </si>
  <si>
    <t>east</t>
  </si>
  <si>
    <t>ABC Ltd</t>
  </si>
  <si>
    <t>Total Records</t>
  </si>
  <si>
    <t>mouse</t>
  </si>
  <si>
    <t>1. AVERAGE</t>
  </si>
  <si>
    <t>Car Type</t>
  </si>
  <si>
    <t>Number</t>
  </si>
  <si>
    <t>Formula</t>
  </si>
  <si>
    <t>Result</t>
  </si>
  <si>
    <t>271</t>
  </si>
  <si>
    <t>Explanation</t>
  </si>
  <si>
    <t>Finds the average of Number column.</t>
  </si>
  <si>
    <t>2. AUTO SUM</t>
  </si>
  <si>
    <t>2710</t>
  </si>
  <si>
    <t>Adds all values in Number column.</t>
  </si>
  <si>
    <t>3. SUMIF</t>
  </si>
  <si>
    <t>689</t>
  </si>
  <si>
    <t>Sums only Toyota values.</t>
  </si>
  <si>
    <t>4. COUNT</t>
  </si>
  <si>
    <t>10</t>
  </si>
  <si>
    <t>Counts numeric cells in Number column.</t>
  </si>
  <si>
    <t>5. COUNTA</t>
  </si>
  <si>
    <t>Counts all non-empty cells in Car Type.</t>
  </si>
  <si>
    <t>6. COUNTIF</t>
  </si>
  <si>
    <t>3</t>
  </si>
  <si>
    <t>Counts how many times Mazda appears.</t>
  </si>
  <si>
    <t>7. CONCATENATE</t>
  </si>
  <si>
    <t>Mazda - 125</t>
  </si>
  <si>
    <t>Combines text and number.</t>
  </si>
  <si>
    <t>8. IF Function</t>
  </si>
  <si>
    <t>High / Low</t>
  </si>
  <si>
    <t>Marks High if &gt;300.</t>
  </si>
  <si>
    <t>9. VLOOKUP</t>
  </si>
  <si>
    <t>326</t>
  </si>
  <si>
    <t>Finds Toyota’s number.</t>
  </si>
  <si>
    <t>10. Drop Down List</t>
  </si>
  <si>
    <t>Step 1</t>
  </si>
  <si>
    <t>Data → Data Validation</t>
  </si>
  <si>
    <t>Step 2</t>
  </si>
  <si>
    <t>Allow: List</t>
  </si>
  <si>
    <t>Step 3</t>
  </si>
  <si>
    <t>Source: =B2:B11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</si>
</sst>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m/d/yy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[$-F800]dddd\,\ mmmm\ dd\,\ yyyy"/>
    <numFmt numFmtId="169" formatCode="&quot;₹&quot;\ #,##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  <charset val="1"/>
    </font>
    <font>
      <b/>
      <sz val="12"/>
      <color theme="1"/>
      <name val="Segoe UI"/>
      <family val="2"/>
      <charset val="1"/>
    </font>
    <font>
      <sz val="12"/>
      <name val="Segoe UI"/>
      <family val="2"/>
      <charset val="1"/>
    </font>
    <font>
      <b/>
      <sz val="12"/>
      <color theme="0"/>
      <name val="Segoe UI"/>
      <family val="2"/>
      <charset val="1"/>
    </font>
    <font>
      <b/>
      <sz val="12"/>
      <name val="Segoe UI"/>
      <family val="2"/>
      <charset val="1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Segoe UI"/>
      <family val="2"/>
    </font>
    <font>
      <sz val="18"/>
      <color theme="0"/>
      <name val="Segoe UI"/>
      <family val="2"/>
    </font>
    <font>
      <sz val="1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theme="0"/>
      <name val="Segoe UI"/>
      <family val="2"/>
    </font>
    <font>
      <b/>
      <sz val="13.5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theme="1"/>
      <name val="Arial Unicode MS"/>
      <family val="2"/>
    </font>
    <font>
      <sz val="14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0.59987182226020086"/>
        <bgColor rgb="FFDAE3F3"/>
      </patternFill>
    </fill>
    <fill>
      <patternFill patternType="solid">
        <fgColor theme="4" tint="0.79989013336588644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theme="8" tint="0.59987182226020086"/>
        <bgColor rgb="FF99CCFF"/>
      </patternFill>
    </fill>
    <fill>
      <patternFill patternType="solid">
        <fgColor theme="1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F81BD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medium">
        <color auto="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9" fillId="0" borderId="0"/>
  </cellStyleXfs>
  <cellXfs count="64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/>
    <xf numFmtId="0" fontId="4" fillId="5" borderId="3" xfId="0" applyFont="1" applyFill="1" applyBorder="1"/>
    <xf numFmtId="0" fontId="4" fillId="0" borderId="3" xfId="0" applyFont="1" applyBorder="1"/>
    <xf numFmtId="0" fontId="4" fillId="6" borderId="3" xfId="0" applyFont="1" applyFill="1" applyBorder="1"/>
    <xf numFmtId="0" fontId="0" fillId="3" borderId="4" xfId="0" applyFill="1" applyBorder="1"/>
    <xf numFmtId="0" fontId="5" fillId="2" borderId="5" xfId="0" applyFont="1" applyFill="1" applyBorder="1"/>
    <xf numFmtId="0" fontId="0" fillId="3" borderId="6" xfId="0" applyFill="1" applyBorder="1"/>
    <xf numFmtId="0" fontId="0" fillId="0" borderId="5" xfId="0" applyBorder="1"/>
    <xf numFmtId="0" fontId="0" fillId="3" borderId="5" xfId="0" applyFill="1" applyBorder="1"/>
    <xf numFmtId="0" fontId="6" fillId="0" borderId="1" xfId="0" applyFont="1" applyBorder="1" applyAlignment="1">
      <alignment horizontal="center"/>
    </xf>
    <xf numFmtId="0" fontId="4" fillId="7" borderId="0" xfId="0" applyFont="1" applyFill="1"/>
    <xf numFmtId="0" fontId="4" fillId="0" borderId="0" xfId="0" applyFont="1"/>
    <xf numFmtId="0" fontId="4" fillId="8" borderId="0" xfId="0" applyFont="1" applyFill="1"/>
    <xf numFmtId="0" fontId="7" fillId="0" borderId="0" xfId="0" applyFont="1"/>
    <xf numFmtId="0" fontId="9" fillId="0" borderId="1" xfId="0" applyFont="1" applyBorder="1"/>
    <xf numFmtId="0" fontId="12" fillId="0" borderId="0" xfId="0" applyFont="1"/>
    <xf numFmtId="0" fontId="13" fillId="2" borderId="7" xfId="0" applyFont="1" applyFill="1" applyBorder="1"/>
    <xf numFmtId="0" fontId="13" fillId="2" borderId="8" xfId="0" applyFont="1" applyFill="1" applyBorder="1"/>
    <xf numFmtId="0" fontId="13" fillId="2" borderId="0" xfId="0" applyFont="1" applyFill="1"/>
    <xf numFmtId="0" fontId="12" fillId="0" borderId="9" xfId="0" applyFont="1" applyBorder="1"/>
    <xf numFmtId="0" fontId="12" fillId="0" borderId="2" xfId="0" applyFont="1" applyBorder="1"/>
    <xf numFmtId="165" fontId="12" fillId="0" borderId="10" xfId="0" applyNumberFormat="1" applyFont="1" applyBorder="1"/>
    <xf numFmtId="166" fontId="12" fillId="0" borderId="9" xfId="0" applyNumberFormat="1" applyFont="1" applyBorder="1"/>
    <xf numFmtId="165" fontId="12" fillId="0" borderId="11" xfId="0" applyNumberFormat="1" applyFont="1" applyBorder="1"/>
    <xf numFmtId="0" fontId="14" fillId="10" borderId="12" xfId="0" applyFont="1" applyFill="1" applyBorder="1"/>
    <xf numFmtId="0" fontId="14" fillId="10" borderId="13" xfId="0" applyFont="1" applyFill="1" applyBorder="1"/>
    <xf numFmtId="0" fontId="14" fillId="10" borderId="14" xfId="0" applyFont="1" applyFill="1" applyBorder="1"/>
    <xf numFmtId="0" fontId="12" fillId="0" borderId="15" xfId="0" applyFont="1" applyBorder="1"/>
    <xf numFmtId="0" fontId="12" fillId="0" borderId="16" xfId="0" applyFont="1" applyBorder="1"/>
    <xf numFmtId="167" fontId="12" fillId="0" borderId="17" xfId="0" applyNumberFormat="1" applyFont="1" applyBorder="1"/>
    <xf numFmtId="0" fontId="12" fillId="0" borderId="11" xfId="0" applyFont="1" applyBorder="1"/>
    <xf numFmtId="167" fontId="12" fillId="0" borderId="9" xfId="0" applyNumberFormat="1" applyFont="1" applyBorder="1"/>
    <xf numFmtId="0" fontId="0" fillId="0" borderId="18" xfId="0" applyBorder="1"/>
    <xf numFmtId="168" fontId="0" fillId="0" borderId="0" xfId="0" applyNumberFormat="1"/>
    <xf numFmtId="14" fontId="0" fillId="0" borderId="0" xfId="0" applyNumberFormat="1"/>
    <xf numFmtId="0" fontId="0" fillId="0" borderId="16" xfId="0" applyBorder="1"/>
    <xf numFmtId="0" fontId="15" fillId="0" borderId="0" xfId="0" applyFont="1" applyAlignment="1">
      <alignment vertical="center"/>
    </xf>
    <xf numFmtId="0" fontId="16" fillId="0" borderId="0" xfId="0" applyFont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7" fillId="11" borderId="0" xfId="0" applyFont="1" applyFill="1"/>
    <xf numFmtId="0" fontId="17" fillId="11" borderId="0" xfId="0" applyFont="1" applyFill="1" applyAlignment="1">
      <alignment horizontal="right"/>
    </xf>
    <xf numFmtId="0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8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/>
    </xf>
    <xf numFmtId="0" fontId="19" fillId="0" borderId="0" xfId="3"/>
    <xf numFmtId="0" fontId="7" fillId="4" borderId="16" xfId="3" applyFont="1" applyFill="1" applyBorder="1"/>
    <xf numFmtId="0" fontId="19" fillId="0" borderId="16" xfId="3" applyBorder="1"/>
    <xf numFmtId="0" fontId="7" fillId="4" borderId="16" xfId="0" applyFont="1" applyFill="1" applyBorder="1"/>
    <xf numFmtId="0" fontId="20" fillId="12" borderId="0" xfId="0" applyFont="1" applyFill="1"/>
    <xf numFmtId="0" fontId="2" fillId="0" borderId="1" xfId="0" applyFont="1" applyBorder="1"/>
    <xf numFmtId="0" fontId="0" fillId="0" borderId="0" xfId="0"/>
    <xf numFmtId="0" fontId="8" fillId="0" borderId="1" xfId="0" applyFont="1" applyBorder="1"/>
    <xf numFmtId="0" fontId="10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9" fillId="0" borderId="0" xfId="0" applyFont="1"/>
  </cellXfs>
  <cellStyles count="4">
    <cellStyle name="Comma 2" xfId="2" xr:uid="{4868188B-391E-4816-8253-15BFD669A82C}"/>
    <cellStyle name="Normal" xfId="0" builtinId="0"/>
    <cellStyle name="Normal 2" xfId="1" xr:uid="{816A802A-9BF5-4D60-9F79-87B8D59C4EBB}"/>
    <cellStyle name="Normal 3" xfId="3" xr:uid="{9AD9D7DA-2C30-4905-9349-71C52A0C5BB4}"/>
  </cellStyles>
  <dxfs count="44">
    <dxf>
      <font>
        <color rgb="FF9C0006"/>
      </font>
      <fill>
        <patternFill>
          <bgColor rgb="FFFFC7CE"/>
        </patternFill>
      </fill>
    </dxf>
    <dxf>
      <numFmt numFmtId="170" formatCode="m/d/yyyy"/>
    </dxf>
    <dxf>
      <numFmt numFmtId="19" formatCode="dd/mm/yyyy"/>
    </dxf>
    <dxf>
      <border outline="0">
        <bottom style="thin">
          <color indexed="64"/>
        </bottom>
      </border>
    </dxf>
    <dxf>
      <numFmt numFmtId="168" formatCode="[$-F800]dddd\,\ mmmm\ dd\,\ yyyy"/>
    </dxf>
    <dxf>
      <numFmt numFmtId="168" formatCode="[$-F800]dddd\,\ mmmm\ dd\,\ yyyy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numFmt numFmtId="167" formatCode="_(&quot;$&quot;* #,##0.00_);_(&quot;$&quot;* \(#,##0.0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00666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00666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6" formatCode="&quot;$&quot;#,##0.00_);[Red]\(&quot;$&quot;#,##0.00\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5" formatCode="m/d/yy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231785-E471-4FB0-AB57-D6BDA58BC528}" name="Merge1" displayName="Merge1" ref="I4:K7" totalsRowShown="0">
  <autoFilter ref="I4:K7" xr:uid="{EC231785-E471-4FB0-AB57-D6BDA58BC528}"/>
  <tableColumns count="3">
    <tableColumn id="1" xr3:uid="{156E3CBC-204C-4B1D-822C-7B5ACBDC35E7}" name="Name"/>
    <tableColumn id="2" xr3:uid="{1C48BB44-580D-4DF1-91C6-B29C24A4E2A0}" name="Gender"/>
    <tableColumn id="3" xr3:uid="{467609EF-CB6D-4446-95F2-08A654D216D7}" name="Ag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F16BBC-D6B9-4AFC-82FC-1E9B2BA0B69D}" name="Table1" displayName="Table1" ref="A4:C17" totalsRowShown="0">
  <autoFilter ref="A4:C17" xr:uid="{30F16BBC-D6B9-4AFC-82FC-1E9B2BA0B69D}"/>
  <tableColumns count="3">
    <tableColumn id="1" xr3:uid="{6946E6A0-8CC8-4BC9-877D-6D1085CE17D3}" name="Name"/>
    <tableColumn id="2" xr3:uid="{C634764F-17AB-4839-92A0-05E36621A401}" name="Gender"/>
    <tableColumn id="3" xr3:uid="{444A5E5E-A7B6-428A-8BC3-153D02DD160E}" name="Ag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AD7929-53E9-40AA-9DA9-DDE1712E0340}" name="Table2" displayName="Table2" ref="E4:G16" totalsRowShown="0">
  <autoFilter ref="E4:G16" xr:uid="{8AAD7929-53E9-40AA-9DA9-DDE1712E0340}"/>
  <tableColumns count="3">
    <tableColumn id="1" xr3:uid="{6D3818DE-E941-4D24-A718-A80BB6F39A7F}" name="Name"/>
    <tableColumn id="2" xr3:uid="{4B930473-F8FC-421B-9F2C-86E81B0FFC43}" name="Gender"/>
    <tableColumn id="3" xr3:uid="{CE3DA605-A488-4747-BF0B-007674A69F0E}" name="Ag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3C4F11-32B8-47F9-AE79-5A096B8A7271}" name="Table4" displayName="Table4" ref="E20:G30" totalsRowShown="0">
  <autoFilter ref="E20:G30" xr:uid="{A93C4F11-32B8-47F9-AE79-5A096B8A7271}"/>
  <tableColumns count="3">
    <tableColumn id="1" xr3:uid="{8A3EE299-9CDA-49EE-9110-119B724E1B1C}" name="Name"/>
    <tableColumn id="2" xr3:uid="{77826BE9-3035-40C6-BF2F-284E07DD951B}" name="Gender"/>
    <tableColumn id="3" xr3:uid="{C81203D8-98E6-4927-BCF7-1B2D7320E695}" name="Ag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89410AB-F961-44A5-AE07-00B52E962F30}" name="Table3" displayName="Table3" ref="A20:C30" totalsRowShown="0">
  <autoFilter ref="A20:C30" xr:uid="{D89410AB-F961-44A5-AE07-00B52E962F30}"/>
  <tableColumns count="3">
    <tableColumn id="1" xr3:uid="{43108C17-1C13-4C44-B2DD-03C616B36F02}" name="Name"/>
    <tableColumn id="2" xr3:uid="{70BD3038-8501-4DC9-B148-7324189A71DA}" name="Gender"/>
    <tableColumn id="3" xr3:uid="{09D43561-D40E-468D-AF06-7F4EF2C5707C}" name="Ag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D552CE-C577-4B10-B28C-D593BA43AA93}" name="Table114" displayName="Table114" ref="A4:A17" totalsRowShown="0" headerRowDxfId="43" dataDxfId="41" headerRowBorderDxfId="42">
  <autoFilter ref="A4:A17" xr:uid="{C7D552CE-C577-4B10-B28C-D593BA43AA93}"/>
  <tableColumns count="1">
    <tableColumn id="1" xr3:uid="{1ED5236D-C435-4230-8519-E05A93191096}" name="Acutal Cust Name" dataDxfId="4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1E6BE43-ED8C-4C5A-8B9A-BF0AA360213B}" name="Table215" displayName="Table215" ref="D4:G17" totalsRowShown="0" headerRowDxfId="39" dataDxfId="37" headerRowBorderDxfId="38">
  <autoFilter ref="D4:G17" xr:uid="{61E6BE43-ED8C-4C5A-8B9A-BF0AA360213B}"/>
  <tableColumns count="4">
    <tableColumn id="1" xr3:uid="{65419454-6B23-4981-A857-34CBE6F1D8A8}" name="Customer Name" dataDxfId="36"/>
    <tableColumn id="2" xr3:uid="{8C736FAA-3112-42C6-A32C-82DAF2EA51C3}" name="City" dataDxfId="35"/>
    <tableColumn id="3" xr3:uid="{E7E48752-354C-46C2-A4A6-775A41003D46}" name="Sales" dataDxfId="34"/>
    <tableColumn id="4" xr3:uid="{CFC6D4D0-8091-4808-A313-7E5F24E36B60}" name="Profit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954CD72-8FEB-4E2B-A726-A518FD26E3EA}" name="LookupTable" displayName="LookupTable" ref="B5:C77" totalsRowShown="0" headerRowDxfId="32" tableBorderDxfId="31">
  <autoFilter ref="B5:C77" xr:uid="{1954CD72-8FEB-4E2B-A726-A518FD26E3EA}"/>
  <tableColumns count="2">
    <tableColumn id="1" xr3:uid="{B07218D3-8FD9-4C55-BBD6-4F5F79C2CF2B}" name="SalesRep" dataDxfId="30"/>
    <tableColumn id="2" xr3:uid="{1E4A5DFD-86F8-4F2A-BD25-DAE5015B7FAE}" name="Region" dataDxfId="2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89A4C9-10F0-43DD-9643-EAFA6EBE0AFB}" name="SalesTable" displayName="SalesTable" ref="E5:H492" totalsRowShown="0" headerRowDxfId="28" tableBorderDxfId="27">
  <autoFilter ref="E5:H492" xr:uid="{8789A4C9-10F0-43DD-9643-EAFA6EBE0AFB}"/>
  <tableColumns count="4">
    <tableColumn id="1" xr3:uid="{C46ED7CC-1FDE-4D4B-A4E6-62FB8AFFD678}" name="Date" dataDxfId="26"/>
    <tableColumn id="2" xr3:uid="{4644E549-6CE4-433F-A357-3036B8BB54A5}" name="Sales Rep" dataDxfId="25"/>
    <tableColumn id="3" xr3:uid="{3B08B893-6A5A-45E5-8785-363C2A6E1CB4}" name="Car Make" dataDxfId="24"/>
    <tableColumn id="4" xr3:uid="{DB4619C1-7E5E-4AB7-8479-EF254CF61343}" name="Sales" dataDxfId="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B087566-B9CF-4F54-8039-E161907B672E}" name="LookupTable18" displayName="LookupTable18" ref="A4:D124" totalsRowShown="0" headerRowDxfId="22" dataDxfId="20" headerRowBorderDxfId="21">
  <autoFilter ref="A4:D124" xr:uid="{0B087566-B9CF-4F54-8039-E161907B672E}"/>
  <tableColumns count="4">
    <tableColumn id="1" xr3:uid="{3C0EEC7F-DF98-4DB1-8F81-C58845A4BBDD}" name="Product" dataDxfId="19"/>
    <tableColumn id="2" xr3:uid="{3D868E48-1A68-4913-B418-371DAA3E0C2A}" name="Region" dataDxfId="18"/>
    <tableColumn id="3" xr3:uid="{60C0A050-30C8-4BDC-8A26-00387A1280B1}" name="Product Type" dataDxfId="17"/>
    <tableColumn id="4" xr3:uid="{193FBD26-A3AB-4A91-BD45-B33CE0DDAE6D}" name="Discount" dataDxfId="16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38983EF-8C07-47C0-AC78-8AA6D97A1DEB}" name="SalesTable19" displayName="SalesTable19" ref="F4:I1468" totalsRowShown="0" headerRowDxfId="15" dataDxfId="13" headerRowBorderDxfId="14" tableBorderDxfId="12" totalsRowBorderDxfId="11">
  <autoFilter ref="F4:I1468" xr:uid="{B38983EF-8C07-47C0-AC78-8AA6D97A1DEB}"/>
  <tableColumns count="4">
    <tableColumn id="1" xr3:uid="{4BF21CB5-8D15-4D65-9603-9BD0CE89C5B2}" name="Region" dataDxfId="10"/>
    <tableColumn id="2" xr3:uid="{4C44D6EB-9D71-4D30-865E-C27F0E77426A}" name="Product Group" dataDxfId="9"/>
    <tableColumn id="3" xr3:uid="{31252DF9-B0C2-4174-B6E3-C3047D968733}" name="Product" dataDxfId="8"/>
    <tableColumn id="4" xr3:uid="{32B8C610-D170-40B6-B69C-EBB0A252D77D}" name="Sales" dataDxfId="7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3DECE62-1F13-4809-A126-BFEE1A6CBAC6}" name="Table120" displayName="Table120" ref="A5:A23" totalsRowShown="0" dataDxfId="5" headerRowBorderDxfId="6">
  <autoFilter ref="A5:A23" xr:uid="{33DECE62-1F13-4809-A126-BFEE1A6CBAC6}"/>
  <tableColumns count="1">
    <tableColumn id="1" xr3:uid="{31CDD636-BB31-4FA8-8925-BC5CF1E2FA2B}" name="Dates Available" dataDxfId="4">
      <calculatedColumnFormula>A5+1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7E15EEB-2572-4D45-91FF-A70754982863}" name="Table221" displayName="Table221" ref="C5:C9" headerRowBorderDxfId="3">
  <autoFilter ref="C5:C9" xr:uid="{97E15EEB-2572-4D45-91FF-A70754982863}"/>
  <tableColumns count="1">
    <tableColumn id="1" xr3:uid="{90C419E9-F114-4682-AD88-59102225B042}" name="Holidays" totalsRowLabel="09/06/2021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2417-9D25-4025-9884-1A14A7ABA2C0}">
  <dimension ref="A1:J66"/>
  <sheetViews>
    <sheetView tabSelected="1" workbookViewId="0">
      <selection activeCell="J3" sqref="J3:K18"/>
    </sheetView>
  </sheetViews>
  <sheetFormatPr defaultRowHeight="14.5"/>
  <cols>
    <col min="4" max="4" width="12.08984375" bestFit="1" customWidth="1"/>
    <col min="5" max="6" width="9.90625" bestFit="1" customWidth="1"/>
  </cols>
  <sheetData>
    <row r="1" spans="1:7">
      <c r="A1" t="s">
        <v>690</v>
      </c>
    </row>
    <row r="3" spans="1:7">
      <c r="A3" t="s">
        <v>47</v>
      </c>
      <c r="B3" t="s">
        <v>48</v>
      </c>
      <c r="C3" t="s">
        <v>49</v>
      </c>
      <c r="D3" t="s">
        <v>691</v>
      </c>
      <c r="E3" t="s">
        <v>692</v>
      </c>
      <c r="F3" t="s">
        <v>693</v>
      </c>
      <c r="G3" t="s">
        <v>694</v>
      </c>
    </row>
    <row r="4" spans="1:7">
      <c r="A4" t="s">
        <v>695</v>
      </c>
      <c r="B4" t="s">
        <v>696</v>
      </c>
      <c r="C4">
        <v>16</v>
      </c>
      <c r="D4">
        <v>10</v>
      </c>
      <c r="E4">
        <v>84</v>
      </c>
      <c r="F4">
        <v>79</v>
      </c>
      <c r="G4">
        <v>81</v>
      </c>
    </row>
    <row r="5" spans="1:7">
      <c r="A5" t="s">
        <v>698</v>
      </c>
      <c r="B5" t="s">
        <v>696</v>
      </c>
      <c r="C5">
        <v>11</v>
      </c>
      <c r="D5">
        <v>5</v>
      </c>
      <c r="E5">
        <v>82</v>
      </c>
      <c r="F5">
        <v>83</v>
      </c>
      <c r="G5">
        <v>91</v>
      </c>
    </row>
    <row r="6" spans="1:7">
      <c r="A6" t="s">
        <v>700</v>
      </c>
      <c r="B6" t="s">
        <v>701</v>
      </c>
      <c r="C6">
        <v>15</v>
      </c>
      <c r="D6">
        <v>8</v>
      </c>
      <c r="E6">
        <v>81</v>
      </c>
      <c r="F6">
        <v>78</v>
      </c>
      <c r="G6">
        <v>88</v>
      </c>
    </row>
    <row r="7" spans="1:7">
      <c r="A7" t="s">
        <v>703</v>
      </c>
      <c r="B7" t="s">
        <v>696</v>
      </c>
      <c r="C7">
        <v>14</v>
      </c>
      <c r="D7">
        <v>8</v>
      </c>
      <c r="E7">
        <v>70</v>
      </c>
      <c r="F7">
        <v>75</v>
      </c>
      <c r="G7">
        <v>79</v>
      </c>
    </row>
    <row r="8" spans="1:7">
      <c r="A8" t="s">
        <v>699</v>
      </c>
      <c r="B8" t="s">
        <v>701</v>
      </c>
      <c r="C8">
        <v>16</v>
      </c>
      <c r="D8">
        <v>10</v>
      </c>
      <c r="E8">
        <v>88</v>
      </c>
      <c r="F8">
        <v>92</v>
      </c>
      <c r="G8">
        <v>96</v>
      </c>
    </row>
    <row r="9" spans="1:7">
      <c r="A9" t="s">
        <v>704</v>
      </c>
      <c r="B9" t="s">
        <v>696</v>
      </c>
      <c r="C9">
        <v>16</v>
      </c>
      <c r="D9">
        <v>10</v>
      </c>
      <c r="E9">
        <v>82</v>
      </c>
      <c r="F9">
        <v>81</v>
      </c>
      <c r="G9">
        <v>80</v>
      </c>
    </row>
    <row r="10" spans="1:7">
      <c r="A10" t="s">
        <v>705</v>
      </c>
      <c r="B10" t="s">
        <v>701</v>
      </c>
      <c r="C10">
        <v>14</v>
      </c>
      <c r="D10">
        <v>8</v>
      </c>
      <c r="E10">
        <v>90</v>
      </c>
      <c r="F10">
        <v>86</v>
      </c>
      <c r="G10">
        <v>89</v>
      </c>
    </row>
    <row r="11" spans="1:7">
      <c r="A11" t="s">
        <v>706</v>
      </c>
      <c r="B11" t="s">
        <v>696</v>
      </c>
      <c r="C11">
        <v>15</v>
      </c>
      <c r="D11">
        <v>9</v>
      </c>
      <c r="E11">
        <v>87</v>
      </c>
      <c r="F11">
        <v>89</v>
      </c>
      <c r="G11">
        <v>96</v>
      </c>
    </row>
    <row r="12" spans="1:7">
      <c r="A12" t="s">
        <v>707</v>
      </c>
      <c r="B12" t="s">
        <v>701</v>
      </c>
      <c r="C12">
        <v>17</v>
      </c>
      <c r="D12">
        <v>10</v>
      </c>
      <c r="E12">
        <v>70</v>
      </c>
      <c r="F12">
        <v>90</v>
      </c>
      <c r="G12">
        <v>92</v>
      </c>
    </row>
    <row r="13" spans="1:7">
      <c r="A13" t="s">
        <v>704</v>
      </c>
      <c r="B13" t="s">
        <v>696</v>
      </c>
      <c r="C13">
        <v>11</v>
      </c>
      <c r="D13">
        <v>6</v>
      </c>
      <c r="E13">
        <v>91</v>
      </c>
      <c r="F13">
        <v>81</v>
      </c>
      <c r="G13">
        <v>95</v>
      </c>
    </row>
    <row r="14" spans="1:7">
      <c r="A14" t="s">
        <v>702</v>
      </c>
      <c r="B14" t="s">
        <v>696</v>
      </c>
      <c r="C14">
        <v>12</v>
      </c>
      <c r="D14">
        <v>7</v>
      </c>
      <c r="E14">
        <v>86</v>
      </c>
      <c r="F14">
        <v>92</v>
      </c>
      <c r="G14">
        <v>89</v>
      </c>
    </row>
    <row r="15" spans="1:7">
      <c r="A15" t="s">
        <v>708</v>
      </c>
      <c r="B15" t="s">
        <v>701</v>
      </c>
      <c r="C15">
        <v>16</v>
      </c>
      <c r="D15">
        <v>10</v>
      </c>
      <c r="E15">
        <v>81</v>
      </c>
      <c r="F15">
        <v>80</v>
      </c>
      <c r="G15">
        <v>87</v>
      </c>
    </row>
    <row r="16" spans="1:7">
      <c r="A16" t="s">
        <v>709</v>
      </c>
      <c r="B16" t="s">
        <v>701</v>
      </c>
      <c r="C16">
        <v>11</v>
      </c>
      <c r="D16">
        <v>6</v>
      </c>
      <c r="E16">
        <v>88</v>
      </c>
      <c r="F16">
        <v>90</v>
      </c>
      <c r="G16">
        <v>92</v>
      </c>
    </row>
    <row r="17" spans="1:10">
      <c r="A17" t="s">
        <v>710</v>
      </c>
      <c r="B17" t="s">
        <v>701</v>
      </c>
      <c r="C17">
        <v>16</v>
      </c>
      <c r="D17">
        <v>10</v>
      </c>
      <c r="E17">
        <v>70</v>
      </c>
      <c r="F17">
        <v>87</v>
      </c>
      <c r="G17">
        <v>85</v>
      </c>
    </row>
    <row r="18" spans="1:10">
      <c r="A18" t="s">
        <v>697</v>
      </c>
      <c r="B18" t="s">
        <v>701</v>
      </c>
      <c r="C18">
        <v>14</v>
      </c>
      <c r="D18">
        <v>8</v>
      </c>
      <c r="E18">
        <v>91</v>
      </c>
      <c r="F18">
        <v>96</v>
      </c>
      <c r="G18">
        <v>98</v>
      </c>
    </row>
    <row r="25" spans="1:10">
      <c r="C25" s="42" t="s">
        <v>47</v>
      </c>
      <c r="D25" s="43" t="s">
        <v>711</v>
      </c>
      <c r="E25" s="43" t="s">
        <v>712</v>
      </c>
      <c r="F25" s="43" t="s">
        <v>713</v>
      </c>
      <c r="I25" s="42" t="s">
        <v>47</v>
      </c>
      <c r="J25" s="42" t="s">
        <v>713</v>
      </c>
    </row>
    <row r="26" spans="1:10">
      <c r="C26" t="s">
        <v>714</v>
      </c>
      <c r="D26" s="44">
        <v>1190</v>
      </c>
      <c r="E26" s="45">
        <v>919738</v>
      </c>
      <c r="F26" s="45">
        <v>206941.05000000002</v>
      </c>
      <c r="I26" t="s">
        <v>715</v>
      </c>
      <c r="J26">
        <f>VLOOKUP(I26,C26:F38,4,FALSE)</f>
        <v>168189.97500000001</v>
      </c>
    </row>
    <row r="27" spans="1:10">
      <c r="C27" t="s">
        <v>716</v>
      </c>
      <c r="D27" s="44">
        <v>1334</v>
      </c>
      <c r="E27" s="45">
        <v>868450</v>
      </c>
      <c r="F27" s="45">
        <v>195401.25</v>
      </c>
    </row>
    <row r="28" spans="1:10">
      <c r="C28" t="s">
        <v>717</v>
      </c>
      <c r="D28" s="44">
        <v>1631</v>
      </c>
      <c r="E28" s="45">
        <v>970292</v>
      </c>
      <c r="F28" s="45">
        <v>218315.7</v>
      </c>
    </row>
    <row r="29" spans="1:10">
      <c r="C29" t="s">
        <v>718</v>
      </c>
      <c r="D29" s="44">
        <v>1163</v>
      </c>
      <c r="E29" s="45">
        <v>974125</v>
      </c>
      <c r="F29" s="45">
        <v>219178.125</v>
      </c>
    </row>
    <row r="30" spans="1:10">
      <c r="C30" t="s">
        <v>719</v>
      </c>
      <c r="D30" s="44">
        <v>1454</v>
      </c>
      <c r="E30" s="45">
        <v>995086</v>
      </c>
      <c r="F30" s="45">
        <v>223894.35</v>
      </c>
    </row>
    <row r="31" spans="1:10">
      <c r="C31" t="s">
        <v>720</v>
      </c>
      <c r="D31" s="44">
        <v>1263</v>
      </c>
      <c r="E31" s="45">
        <v>996563</v>
      </c>
      <c r="F31" s="45">
        <v>224226.67500000002</v>
      </c>
    </row>
    <row r="32" spans="1:10">
      <c r="C32" t="s">
        <v>715</v>
      </c>
      <c r="D32" s="44">
        <v>1767</v>
      </c>
      <c r="E32" s="45">
        <v>747511</v>
      </c>
      <c r="F32" s="45">
        <v>168189.97500000001</v>
      </c>
    </row>
    <row r="33" spans="1:8">
      <c r="C33" t="s">
        <v>721</v>
      </c>
      <c r="D33" s="44">
        <v>1666</v>
      </c>
      <c r="E33" s="45">
        <v>735280</v>
      </c>
      <c r="F33" s="45">
        <v>165438</v>
      </c>
    </row>
    <row r="34" spans="1:8">
      <c r="C34" t="s">
        <v>722</v>
      </c>
      <c r="D34" s="44">
        <v>1255</v>
      </c>
      <c r="E34" s="45">
        <v>764439</v>
      </c>
      <c r="F34" s="45">
        <v>171998.77499999999</v>
      </c>
    </row>
    <row r="35" spans="1:8">
      <c r="C35" t="s">
        <v>723</v>
      </c>
      <c r="D35" s="44">
        <v>1352</v>
      </c>
      <c r="E35" s="45">
        <v>917987</v>
      </c>
      <c r="F35" s="45">
        <v>206547.07500000001</v>
      </c>
      <c r="H35" s="46"/>
    </row>
    <row r="36" spans="1:8">
      <c r="C36" t="s">
        <v>724</v>
      </c>
      <c r="D36" s="44">
        <v>1512</v>
      </c>
      <c r="E36" s="45">
        <v>778095</v>
      </c>
      <c r="F36" s="45">
        <v>175071.375</v>
      </c>
    </row>
    <row r="37" spans="1:8">
      <c r="C37" t="s">
        <v>725</v>
      </c>
      <c r="D37" s="44">
        <v>1120</v>
      </c>
      <c r="E37" s="45">
        <v>963652</v>
      </c>
      <c r="F37" s="45">
        <v>216821.7</v>
      </c>
    </row>
    <row r="38" spans="1:8">
      <c r="C38" t="s">
        <v>726</v>
      </c>
      <c r="D38" s="44">
        <v>1927</v>
      </c>
      <c r="E38" s="45">
        <v>709624</v>
      </c>
      <c r="F38" s="45">
        <v>159665.4</v>
      </c>
    </row>
    <row r="42" spans="1:8" ht="17.5">
      <c r="A42" s="38" t="s">
        <v>727</v>
      </c>
    </row>
    <row r="44" spans="1:8">
      <c r="A44" s="39" t="s">
        <v>687</v>
      </c>
    </row>
    <row r="45" spans="1:8">
      <c r="A45" t="s">
        <v>728</v>
      </c>
    </row>
    <row r="47" spans="1:8">
      <c r="A47" s="39" t="s">
        <v>729</v>
      </c>
    </row>
    <row r="48" spans="1:8">
      <c r="A48" s="47" t="s">
        <v>730</v>
      </c>
    </row>
    <row r="50" spans="1:2">
      <c r="A50" s="39" t="s">
        <v>688</v>
      </c>
    </row>
    <row r="51" spans="1:2">
      <c r="A51" t="s">
        <v>731</v>
      </c>
    </row>
    <row r="53" spans="1:2">
      <c r="A53" s="48" t="s">
        <v>47</v>
      </c>
      <c r="B53" s="48" t="s">
        <v>732</v>
      </c>
    </row>
    <row r="54" spans="1:2">
      <c r="A54" s="49" t="s">
        <v>394</v>
      </c>
      <c r="B54" s="49">
        <v>85</v>
      </c>
    </row>
    <row r="55" spans="1:2">
      <c r="A55" s="49" t="s">
        <v>733</v>
      </c>
      <c r="B55" s="49">
        <v>90</v>
      </c>
    </row>
    <row r="57" spans="1:2">
      <c r="A57" t="s">
        <v>734</v>
      </c>
    </row>
    <row r="58" spans="1:2">
      <c r="A58" s="47" t="s">
        <v>735</v>
      </c>
    </row>
    <row r="60" spans="1:2">
      <c r="A60" s="39" t="s">
        <v>689</v>
      </c>
    </row>
    <row r="61" spans="1:2">
      <c r="A61" s="40"/>
    </row>
    <row r="62" spans="1:2">
      <c r="A62" s="40" t="s">
        <v>736</v>
      </c>
    </row>
    <row r="63" spans="1:2">
      <c r="A63" s="40"/>
    </row>
    <row r="64" spans="1:2">
      <c r="A64" s="40" t="s">
        <v>737</v>
      </c>
    </row>
    <row r="65" spans="1:1">
      <c r="A65" s="40"/>
    </row>
    <row r="66" spans="1:1">
      <c r="A66" s="40" t="s">
        <v>738</v>
      </c>
    </row>
  </sheetData>
  <conditionalFormatting sqref="A3:A18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EBBE-E6ED-4A9A-A5FC-2403F972F939}">
  <dimension ref="A2:P46"/>
  <sheetViews>
    <sheetView topLeftCell="A10" workbookViewId="0">
      <selection activeCell="D31" sqref="D31"/>
    </sheetView>
  </sheetViews>
  <sheetFormatPr defaultRowHeight="14.5"/>
  <cols>
    <col min="3" max="3" width="12.08984375" bestFit="1" customWidth="1"/>
    <col min="4" max="16" width="10.36328125" bestFit="1" customWidth="1"/>
  </cols>
  <sheetData>
    <row r="2" spans="3:16">
      <c r="C2" t="s">
        <v>739</v>
      </c>
    </row>
    <row r="3" spans="3:16">
      <c r="C3" s="42" t="s">
        <v>47</v>
      </c>
      <c r="D3" s="44" t="s">
        <v>714</v>
      </c>
      <c r="E3" s="44" t="s">
        <v>716</v>
      </c>
      <c r="F3" s="44" t="s">
        <v>717</v>
      </c>
      <c r="G3" s="44" t="s">
        <v>718</v>
      </c>
      <c r="H3" s="44" t="s">
        <v>719</v>
      </c>
      <c r="I3" s="44" t="s">
        <v>720</v>
      </c>
      <c r="J3" s="44" t="s">
        <v>715</v>
      </c>
      <c r="K3" s="44" t="s">
        <v>721</v>
      </c>
      <c r="L3" s="44" t="s">
        <v>722</v>
      </c>
      <c r="M3" s="44" t="s">
        <v>723</v>
      </c>
      <c r="N3" s="44" t="s">
        <v>724</v>
      </c>
      <c r="O3" s="44" t="s">
        <v>725</v>
      </c>
      <c r="P3" s="44" t="s">
        <v>726</v>
      </c>
    </row>
    <row r="4" spans="3:16">
      <c r="C4" s="42" t="s">
        <v>711</v>
      </c>
      <c r="D4" s="44">
        <v>1190</v>
      </c>
      <c r="E4" s="44">
        <v>1334</v>
      </c>
      <c r="F4" s="44">
        <v>1631</v>
      </c>
      <c r="G4" s="44">
        <v>1163</v>
      </c>
      <c r="H4" s="44">
        <v>1454</v>
      </c>
      <c r="I4" s="44">
        <v>1263</v>
      </c>
      <c r="J4" s="44">
        <v>1767</v>
      </c>
      <c r="K4" s="44">
        <v>1666</v>
      </c>
      <c r="L4" s="44">
        <v>1255</v>
      </c>
      <c r="M4" s="44">
        <v>1352</v>
      </c>
      <c r="N4" s="44">
        <v>1512</v>
      </c>
      <c r="O4" s="44">
        <v>1120</v>
      </c>
      <c r="P4" s="44">
        <v>1927</v>
      </c>
    </row>
    <row r="5" spans="3:16">
      <c r="C5" s="42" t="s">
        <v>712</v>
      </c>
      <c r="D5" s="45">
        <v>919738</v>
      </c>
      <c r="E5" s="45">
        <v>868450</v>
      </c>
      <c r="F5" s="45">
        <v>970292</v>
      </c>
      <c r="G5" s="45">
        <v>974125</v>
      </c>
      <c r="H5" s="45">
        <v>995086</v>
      </c>
      <c r="I5" s="45">
        <v>996563</v>
      </c>
      <c r="J5" s="45">
        <v>747511</v>
      </c>
      <c r="K5" s="45">
        <v>735280</v>
      </c>
      <c r="L5" s="45">
        <v>764439</v>
      </c>
      <c r="M5" s="45">
        <v>917987</v>
      </c>
      <c r="N5" s="45">
        <v>778095</v>
      </c>
      <c r="O5" s="45">
        <v>963652</v>
      </c>
      <c r="P5" s="45">
        <v>709624</v>
      </c>
    </row>
    <row r="6" spans="3:16">
      <c r="C6" s="42" t="s">
        <v>713</v>
      </c>
      <c r="D6" s="45">
        <v>206941.05000000002</v>
      </c>
      <c r="E6" s="45">
        <v>195401.25</v>
      </c>
      <c r="F6" s="45">
        <v>218315.7</v>
      </c>
      <c r="G6" s="45">
        <v>219178.125</v>
      </c>
      <c r="H6" s="45">
        <v>223894.35</v>
      </c>
      <c r="I6" s="45">
        <v>224226.67500000002</v>
      </c>
      <c r="J6" s="45">
        <v>168189.97500000001</v>
      </c>
      <c r="K6" s="45">
        <v>165438</v>
      </c>
      <c r="L6" s="45">
        <v>171998.77499999999</v>
      </c>
      <c r="M6" s="45">
        <v>206547.07500000001</v>
      </c>
      <c r="N6" s="45">
        <v>175071.375</v>
      </c>
      <c r="O6" s="45">
        <v>216821.7</v>
      </c>
      <c r="P6" s="45">
        <v>159665.4</v>
      </c>
    </row>
    <row r="8" spans="3:16">
      <c r="C8" s="42" t="s">
        <v>47</v>
      </c>
      <c r="D8" s="42" t="s">
        <v>713</v>
      </c>
    </row>
    <row r="9" spans="3:16">
      <c r="C9" t="s">
        <v>715</v>
      </c>
      <c r="D9" s="45">
        <f>HLOOKUP(C9,D3:P6,4,FALSE)</f>
        <v>168189.97500000001</v>
      </c>
    </row>
    <row r="14" spans="3:16">
      <c r="C14" t="s">
        <v>740</v>
      </c>
    </row>
    <row r="16" spans="3:16">
      <c r="C16" s="42" t="s">
        <v>711</v>
      </c>
      <c r="D16" s="44">
        <v>1190</v>
      </c>
      <c r="E16" s="44">
        <v>1334</v>
      </c>
      <c r="F16" s="44">
        <v>1631</v>
      </c>
      <c r="G16" s="44">
        <v>1163</v>
      </c>
      <c r="H16" s="44">
        <v>1454</v>
      </c>
      <c r="I16" s="44">
        <v>1263</v>
      </c>
      <c r="J16" s="44">
        <v>1767</v>
      </c>
      <c r="K16" s="44">
        <v>1666</v>
      </c>
      <c r="L16" s="44">
        <v>1255</v>
      </c>
      <c r="M16" s="44">
        <v>1352</v>
      </c>
      <c r="N16" s="44">
        <v>1512</v>
      </c>
      <c r="O16" s="44">
        <v>1120</v>
      </c>
      <c r="P16" s="44">
        <v>1927</v>
      </c>
    </row>
    <row r="17" spans="1:16">
      <c r="C17" s="42" t="s">
        <v>712</v>
      </c>
      <c r="D17" s="45">
        <v>919738</v>
      </c>
      <c r="E17" s="45">
        <v>868450</v>
      </c>
      <c r="F17" s="45">
        <v>970292</v>
      </c>
      <c r="G17" s="45">
        <v>974125</v>
      </c>
      <c r="H17" s="45">
        <v>995086</v>
      </c>
      <c r="I17" s="45">
        <v>996563</v>
      </c>
      <c r="J17" s="45">
        <v>747511</v>
      </c>
      <c r="K17" s="45">
        <v>735280</v>
      </c>
      <c r="L17" s="45">
        <v>764439</v>
      </c>
      <c r="M17" s="45">
        <v>917987</v>
      </c>
      <c r="N17" s="45">
        <v>778095</v>
      </c>
      <c r="O17" s="45">
        <v>963652</v>
      </c>
      <c r="P17" s="45">
        <v>709624</v>
      </c>
    </row>
    <row r="18" spans="1:16">
      <c r="C18" s="42" t="s">
        <v>713</v>
      </c>
      <c r="D18" s="45">
        <v>206941.05000000002</v>
      </c>
      <c r="E18" s="45">
        <v>195401.25</v>
      </c>
      <c r="F18" s="45">
        <v>218315.7</v>
      </c>
      <c r="G18" s="45">
        <v>219178.125</v>
      </c>
      <c r="H18" s="45">
        <v>223894.35</v>
      </c>
      <c r="I18" s="45">
        <v>224226.67500000002</v>
      </c>
      <c r="J18" s="45">
        <v>168189.97500000001</v>
      </c>
      <c r="K18" s="45">
        <v>165438</v>
      </c>
      <c r="L18" s="45">
        <v>171998.77499999999</v>
      </c>
      <c r="M18" s="45">
        <v>206547.07500000001</v>
      </c>
      <c r="N18" s="45">
        <v>175071.375</v>
      </c>
      <c r="O18" s="45">
        <v>216821.7</v>
      </c>
      <c r="P18" s="45">
        <v>159665.4</v>
      </c>
    </row>
    <row r="19" spans="1:16">
      <c r="C19" s="42" t="s">
        <v>47</v>
      </c>
      <c r="D19" s="44" t="s">
        <v>714</v>
      </c>
      <c r="E19" s="44" t="s">
        <v>716</v>
      </c>
      <c r="F19" s="44" t="s">
        <v>717</v>
      </c>
      <c r="G19" s="44" t="s">
        <v>718</v>
      </c>
      <c r="H19" s="44" t="s">
        <v>719</v>
      </c>
      <c r="I19" s="44" t="s">
        <v>720</v>
      </c>
      <c r="J19" s="44" t="s">
        <v>715</v>
      </c>
      <c r="K19" s="44" t="s">
        <v>721</v>
      </c>
      <c r="L19" s="44" t="s">
        <v>722</v>
      </c>
      <c r="M19" s="44" t="s">
        <v>723</v>
      </c>
      <c r="N19" s="44" t="s">
        <v>724</v>
      </c>
      <c r="O19" s="44" t="s">
        <v>725</v>
      </c>
      <c r="P19" s="44" t="s">
        <v>726</v>
      </c>
    </row>
    <row r="21" spans="1:16">
      <c r="C21" s="42" t="s">
        <v>47</v>
      </c>
      <c r="D21" s="42" t="s">
        <v>713</v>
      </c>
    </row>
    <row r="22" spans="1:16">
      <c r="C22" t="s">
        <v>715</v>
      </c>
      <c r="D22" s="45">
        <f>_xlfn.XLOOKUP(C22,D19:P19,D18:P18)</f>
        <v>168189.97500000001</v>
      </c>
    </row>
    <row r="26" spans="1:16" ht="17.5">
      <c r="A26" s="38" t="s">
        <v>741</v>
      </c>
    </row>
    <row r="28" spans="1:16">
      <c r="A28" s="39" t="s">
        <v>687</v>
      </c>
    </row>
    <row r="29" spans="1:16">
      <c r="A29" t="s">
        <v>742</v>
      </c>
    </row>
    <row r="31" spans="1:16">
      <c r="A31" s="39" t="s">
        <v>729</v>
      </c>
    </row>
    <row r="32" spans="1:16">
      <c r="A32" s="47" t="s">
        <v>743</v>
      </c>
    </row>
    <row r="34" spans="1:4">
      <c r="A34" s="39" t="s">
        <v>688</v>
      </c>
    </row>
    <row r="36" spans="1:4">
      <c r="A36" s="48" t="s">
        <v>47</v>
      </c>
      <c r="B36" s="48" t="s">
        <v>394</v>
      </c>
      <c r="C36" s="48" t="s">
        <v>733</v>
      </c>
      <c r="D36" s="48" t="s">
        <v>744</v>
      </c>
    </row>
    <row r="37" spans="1:4">
      <c r="A37" s="49" t="s">
        <v>732</v>
      </c>
      <c r="B37" s="49">
        <v>85</v>
      </c>
      <c r="C37" s="49">
        <v>90</v>
      </c>
      <c r="D37" s="49">
        <v>88</v>
      </c>
    </row>
    <row r="39" spans="1:4">
      <c r="A39" t="s">
        <v>734</v>
      </c>
    </row>
    <row r="40" spans="1:4">
      <c r="A40" s="47" t="s">
        <v>745</v>
      </c>
    </row>
    <row r="42" spans="1:4">
      <c r="A42" s="39" t="s">
        <v>689</v>
      </c>
    </row>
    <row r="43" spans="1:4">
      <c r="A43" s="40"/>
    </row>
    <row r="44" spans="1:4">
      <c r="A44" s="40" t="s">
        <v>746</v>
      </c>
    </row>
    <row r="45" spans="1:4">
      <c r="A45" s="40"/>
    </row>
    <row r="46" spans="1:4">
      <c r="A46" s="40" t="s">
        <v>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7331-FC34-4A74-930A-8AF8F4E5725D}">
  <dimension ref="A4:L46"/>
  <sheetViews>
    <sheetView workbookViewId="0">
      <selection activeCell="J9" sqref="J9"/>
    </sheetView>
  </sheetViews>
  <sheetFormatPr defaultRowHeight="14.5"/>
  <cols>
    <col min="7" max="7" width="11.54296875" bestFit="1" customWidth="1"/>
  </cols>
  <sheetData>
    <row r="4" spans="5:12">
      <c r="E4" s="42" t="s">
        <v>711</v>
      </c>
      <c r="F4" s="43" t="s">
        <v>712</v>
      </c>
      <c r="G4" s="43" t="s">
        <v>713</v>
      </c>
      <c r="H4" s="43" t="s">
        <v>47</v>
      </c>
      <c r="J4" s="42" t="s">
        <v>47</v>
      </c>
      <c r="K4" s="42" t="s">
        <v>712</v>
      </c>
      <c r="L4" s="42" t="s">
        <v>713</v>
      </c>
    </row>
    <row r="5" spans="5:12">
      <c r="E5" s="1">
        <v>1190</v>
      </c>
      <c r="F5" s="44">
        <v>919738</v>
      </c>
      <c r="G5" s="50">
        <v>206941.05000000002</v>
      </c>
      <c r="H5" s="44" t="s">
        <v>714</v>
      </c>
      <c r="J5" t="s">
        <v>715</v>
      </c>
      <c r="K5">
        <f t="array" ref="K5:L5">_xlfn.XLOOKUP(J5,H5:H17,F5:G17)</f>
        <v>747511</v>
      </c>
      <c r="L5">
        <v>168189.97500000001</v>
      </c>
    </row>
    <row r="6" spans="5:12">
      <c r="E6" s="1">
        <v>1334</v>
      </c>
      <c r="F6" s="44">
        <v>868450</v>
      </c>
      <c r="G6" s="50">
        <v>195401.25</v>
      </c>
      <c r="H6" s="44" t="s">
        <v>716</v>
      </c>
    </row>
    <row r="7" spans="5:12">
      <c r="E7" s="1">
        <v>1631</v>
      </c>
      <c r="F7" s="44">
        <v>970292</v>
      </c>
      <c r="G7" s="50">
        <v>218315.7</v>
      </c>
      <c r="H7" s="44" t="s">
        <v>717</v>
      </c>
    </row>
    <row r="8" spans="5:12">
      <c r="E8" s="1">
        <v>1163</v>
      </c>
      <c r="F8" s="44">
        <v>974125</v>
      </c>
      <c r="G8" s="50">
        <v>219178.125</v>
      </c>
      <c r="H8" s="44" t="s">
        <v>718</v>
      </c>
    </row>
    <row r="9" spans="5:12">
      <c r="E9" s="1">
        <v>1454</v>
      </c>
      <c r="F9" s="44">
        <v>995086</v>
      </c>
      <c r="G9" s="50">
        <v>223894.35</v>
      </c>
      <c r="H9" s="44" t="s">
        <v>719</v>
      </c>
    </row>
    <row r="10" spans="5:12">
      <c r="E10" s="1">
        <v>1263</v>
      </c>
      <c r="F10" s="44">
        <v>996563</v>
      </c>
      <c r="G10" s="50">
        <v>224226.67500000002</v>
      </c>
      <c r="H10" s="44" t="s">
        <v>720</v>
      </c>
    </row>
    <row r="11" spans="5:12">
      <c r="E11" s="1">
        <v>1767</v>
      </c>
      <c r="F11" s="44">
        <v>747511</v>
      </c>
      <c r="G11" s="50">
        <v>168189.97500000001</v>
      </c>
      <c r="H11" s="44" t="s">
        <v>715</v>
      </c>
    </row>
    <row r="12" spans="5:12">
      <c r="E12" s="1">
        <v>1666</v>
      </c>
      <c r="F12" s="44">
        <v>735280</v>
      </c>
      <c r="G12" s="50">
        <v>165438</v>
      </c>
      <c r="H12" s="44" t="s">
        <v>721</v>
      </c>
    </row>
    <row r="13" spans="5:12">
      <c r="E13" s="1">
        <v>1255</v>
      </c>
      <c r="F13" s="44">
        <v>764439</v>
      </c>
      <c r="G13" s="50">
        <v>171998.77499999999</v>
      </c>
      <c r="H13" s="44" t="s">
        <v>722</v>
      </c>
    </row>
    <row r="14" spans="5:12">
      <c r="E14" s="1">
        <v>1352</v>
      </c>
      <c r="F14" s="44">
        <v>917987</v>
      </c>
      <c r="G14" s="50">
        <v>206547.07500000001</v>
      </c>
      <c r="H14" s="44" t="s">
        <v>723</v>
      </c>
      <c r="I14" s="46"/>
    </row>
    <row r="15" spans="5:12">
      <c r="E15" s="1">
        <v>1512</v>
      </c>
      <c r="F15" s="44">
        <v>778095</v>
      </c>
      <c r="G15" s="50">
        <v>175071.375</v>
      </c>
      <c r="H15" s="44" t="s">
        <v>724</v>
      </c>
    </row>
    <row r="16" spans="5:12">
      <c r="E16" s="1">
        <v>1120</v>
      </c>
      <c r="F16" s="44">
        <v>963652</v>
      </c>
      <c r="G16" s="50">
        <v>216821.7</v>
      </c>
      <c r="H16" s="44" t="s">
        <v>725</v>
      </c>
    </row>
    <row r="17" spans="1:8">
      <c r="E17" s="1">
        <v>1927</v>
      </c>
      <c r="F17" s="44">
        <v>709624</v>
      </c>
      <c r="G17" s="50">
        <v>159665.4</v>
      </c>
      <c r="H17" s="44" t="s">
        <v>726</v>
      </c>
    </row>
    <row r="21" spans="1:8" ht="17.5">
      <c r="A21" s="38" t="s">
        <v>748</v>
      </c>
    </row>
    <row r="23" spans="1:8">
      <c r="A23" s="39" t="s">
        <v>687</v>
      </c>
    </row>
    <row r="24" spans="1:8">
      <c r="A24" s="39" t="s">
        <v>749</v>
      </c>
    </row>
    <row r="26" spans="1:8">
      <c r="A26" s="39" t="s">
        <v>729</v>
      </c>
    </row>
    <row r="27" spans="1:8">
      <c r="A27" s="47" t="s">
        <v>750</v>
      </c>
    </row>
    <row r="29" spans="1:8">
      <c r="A29" s="39" t="s">
        <v>688</v>
      </c>
    </row>
    <row r="30" spans="1:8">
      <c r="A30" s="47" t="s">
        <v>751</v>
      </c>
    </row>
    <row r="32" spans="1:8">
      <c r="A32" s="39" t="s">
        <v>752</v>
      </c>
    </row>
    <row r="33" spans="1:1">
      <c r="A33" s="40"/>
    </row>
    <row r="34" spans="1:1">
      <c r="A34" s="40" t="s">
        <v>753</v>
      </c>
    </row>
    <row r="35" spans="1:1">
      <c r="A35" s="40"/>
    </row>
    <row r="36" spans="1:1">
      <c r="A36" s="41" t="s">
        <v>754</v>
      </c>
    </row>
    <row r="37" spans="1:1">
      <c r="A37" s="40"/>
    </row>
    <row r="38" spans="1:1">
      <c r="A38" s="40" t="s">
        <v>755</v>
      </c>
    </row>
    <row r="39" spans="1:1">
      <c r="A39" s="40"/>
    </row>
    <row r="40" spans="1:1">
      <c r="A40" s="40" t="s">
        <v>756</v>
      </c>
    </row>
    <row r="42" spans="1:1">
      <c r="A42" s="39" t="s">
        <v>689</v>
      </c>
    </row>
    <row r="43" spans="1:1">
      <c r="A43" s="40"/>
    </row>
    <row r="44" spans="1:1">
      <c r="A44" s="40" t="s">
        <v>757</v>
      </c>
    </row>
    <row r="45" spans="1:1">
      <c r="A45" s="40"/>
    </row>
    <row r="46" spans="1:1">
      <c r="A46" s="40" t="s">
        <v>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F243-A2E2-4A15-A2B0-9444378768F3}">
  <dimension ref="A2:B179"/>
  <sheetViews>
    <sheetView workbookViewId="0">
      <selection activeCell="E4" sqref="E4"/>
    </sheetView>
  </sheetViews>
  <sheetFormatPr defaultRowHeight="14.5"/>
  <sheetData>
    <row r="2" spans="1:2">
      <c r="A2" s="55" t="s">
        <v>786</v>
      </c>
    </row>
    <row r="3" spans="1:2">
      <c r="A3" t="s">
        <v>787</v>
      </c>
      <c r="B3" t="s">
        <v>788</v>
      </c>
    </row>
    <row r="4" spans="1:2">
      <c r="A4" t="s">
        <v>186</v>
      </c>
      <c r="B4">
        <v>125</v>
      </c>
    </row>
    <row r="5" spans="1:2">
      <c r="A5" t="s">
        <v>126</v>
      </c>
      <c r="B5">
        <v>174</v>
      </c>
    </row>
    <row r="6" spans="1:2">
      <c r="A6" t="s">
        <v>184</v>
      </c>
      <c r="B6">
        <v>215</v>
      </c>
    </row>
    <row r="7" spans="1:2">
      <c r="A7" t="s">
        <v>123</v>
      </c>
      <c r="B7">
        <v>326</v>
      </c>
    </row>
    <row r="8" spans="1:2">
      <c r="A8" t="s">
        <v>186</v>
      </c>
      <c r="B8">
        <v>142</v>
      </c>
    </row>
    <row r="9" spans="1:2">
      <c r="A9" t="s">
        <v>123</v>
      </c>
      <c r="B9">
        <v>89</v>
      </c>
    </row>
    <row r="10" spans="1:2">
      <c r="A10" t="s">
        <v>184</v>
      </c>
      <c r="B10">
        <v>376</v>
      </c>
    </row>
    <row r="11" spans="1:2">
      <c r="A11" t="s">
        <v>186</v>
      </c>
      <c r="B11">
        <v>425</v>
      </c>
    </row>
    <row r="12" spans="1:2">
      <c r="A12" t="s">
        <v>184</v>
      </c>
      <c r="B12">
        <v>568</v>
      </c>
    </row>
    <row r="13" spans="1:2">
      <c r="A13" t="s">
        <v>123</v>
      </c>
      <c r="B13">
        <v>274</v>
      </c>
    </row>
    <row r="15" spans="1:2">
      <c r="A15" t="s">
        <v>789</v>
      </c>
      <c r="B15" t="e">
        <f>AVERAGE(C2:C11)</f>
        <v>#DIV/0!</v>
      </c>
    </row>
    <row r="16" spans="1:2">
      <c r="A16" t="s">
        <v>790</v>
      </c>
      <c r="B16" t="s">
        <v>791</v>
      </c>
    </row>
    <row r="17" spans="1:2">
      <c r="A17" t="s">
        <v>792</v>
      </c>
      <c r="B17" t="s">
        <v>793</v>
      </c>
    </row>
    <row r="20" spans="1:2">
      <c r="A20" s="55" t="s">
        <v>794</v>
      </c>
    </row>
    <row r="21" spans="1:2">
      <c r="A21" t="s">
        <v>787</v>
      </c>
      <c r="B21" t="s">
        <v>788</v>
      </c>
    </row>
    <row r="22" spans="1:2">
      <c r="A22" t="s">
        <v>186</v>
      </c>
      <c r="B22">
        <v>125</v>
      </c>
    </row>
    <row r="23" spans="1:2">
      <c r="A23" t="s">
        <v>126</v>
      </c>
      <c r="B23">
        <v>174</v>
      </c>
    </row>
    <row r="24" spans="1:2">
      <c r="A24" t="s">
        <v>184</v>
      </c>
      <c r="B24">
        <v>215</v>
      </c>
    </row>
    <row r="25" spans="1:2">
      <c r="A25" t="s">
        <v>123</v>
      </c>
      <c r="B25">
        <v>326</v>
      </c>
    </row>
    <row r="26" spans="1:2">
      <c r="A26" t="s">
        <v>186</v>
      </c>
      <c r="B26">
        <v>142</v>
      </c>
    </row>
    <row r="27" spans="1:2">
      <c r="A27" t="s">
        <v>123</v>
      </c>
      <c r="B27">
        <v>89</v>
      </c>
    </row>
    <row r="28" spans="1:2">
      <c r="A28" t="s">
        <v>184</v>
      </c>
      <c r="B28">
        <v>376</v>
      </c>
    </row>
    <row r="29" spans="1:2">
      <c r="A29" t="s">
        <v>186</v>
      </c>
      <c r="B29">
        <v>425</v>
      </c>
    </row>
    <row r="30" spans="1:2">
      <c r="A30" t="s">
        <v>184</v>
      </c>
      <c r="B30">
        <v>568</v>
      </c>
    </row>
    <row r="31" spans="1:2">
      <c r="A31" t="s">
        <v>123</v>
      </c>
      <c r="B31">
        <v>274</v>
      </c>
    </row>
    <row r="33" spans="1:2">
      <c r="A33" t="s">
        <v>789</v>
      </c>
      <c r="B33">
        <f>SUM(C2:C11)</f>
        <v>0</v>
      </c>
    </row>
    <row r="34" spans="1:2">
      <c r="A34" t="s">
        <v>790</v>
      </c>
      <c r="B34" t="s">
        <v>795</v>
      </c>
    </row>
    <row r="35" spans="1:2">
      <c r="A35" t="s">
        <v>792</v>
      </c>
      <c r="B35" t="s">
        <v>796</v>
      </c>
    </row>
    <row r="38" spans="1:2">
      <c r="A38" s="55" t="s">
        <v>797</v>
      </c>
    </row>
    <row r="39" spans="1:2">
      <c r="A39" t="s">
        <v>787</v>
      </c>
      <c r="B39" t="s">
        <v>788</v>
      </c>
    </row>
    <row r="40" spans="1:2">
      <c r="A40" t="s">
        <v>186</v>
      </c>
      <c r="B40">
        <v>125</v>
      </c>
    </row>
    <row r="41" spans="1:2">
      <c r="A41" t="s">
        <v>126</v>
      </c>
      <c r="B41">
        <v>174</v>
      </c>
    </row>
    <row r="42" spans="1:2">
      <c r="A42" t="s">
        <v>184</v>
      </c>
      <c r="B42">
        <v>215</v>
      </c>
    </row>
    <row r="43" spans="1:2">
      <c r="A43" t="s">
        <v>123</v>
      </c>
      <c r="B43">
        <v>326</v>
      </c>
    </row>
    <row r="44" spans="1:2">
      <c r="A44" t="s">
        <v>186</v>
      </c>
      <c r="B44">
        <v>142</v>
      </c>
    </row>
    <row r="45" spans="1:2">
      <c r="A45" t="s">
        <v>123</v>
      </c>
      <c r="B45">
        <v>89</v>
      </c>
    </row>
    <row r="46" spans="1:2">
      <c r="A46" t="s">
        <v>184</v>
      </c>
      <c r="B46">
        <v>376</v>
      </c>
    </row>
    <row r="47" spans="1:2">
      <c r="A47" t="s">
        <v>186</v>
      </c>
      <c r="B47">
        <v>425</v>
      </c>
    </row>
    <row r="48" spans="1:2">
      <c r="A48" t="s">
        <v>184</v>
      </c>
      <c r="B48">
        <v>568</v>
      </c>
    </row>
    <row r="49" spans="1:2">
      <c r="A49" t="s">
        <v>123</v>
      </c>
      <c r="B49">
        <v>274</v>
      </c>
    </row>
    <row r="51" spans="1:2">
      <c r="A51" t="s">
        <v>789</v>
      </c>
      <c r="B51">
        <f>SUMIF(B2:B11,"Toyota",C2:C11)</f>
        <v>0</v>
      </c>
    </row>
    <row r="52" spans="1:2">
      <c r="A52" t="s">
        <v>790</v>
      </c>
      <c r="B52" t="s">
        <v>798</v>
      </c>
    </row>
    <row r="53" spans="1:2">
      <c r="A53" t="s">
        <v>792</v>
      </c>
      <c r="B53" t="s">
        <v>799</v>
      </c>
    </row>
    <row r="56" spans="1:2">
      <c r="A56" s="55" t="s">
        <v>800</v>
      </c>
    </row>
    <row r="57" spans="1:2">
      <c r="A57" t="s">
        <v>787</v>
      </c>
      <c r="B57" t="s">
        <v>788</v>
      </c>
    </row>
    <row r="58" spans="1:2">
      <c r="A58" t="s">
        <v>186</v>
      </c>
      <c r="B58">
        <v>125</v>
      </c>
    </row>
    <row r="59" spans="1:2">
      <c r="A59" t="s">
        <v>126</v>
      </c>
      <c r="B59">
        <v>174</v>
      </c>
    </row>
    <row r="60" spans="1:2">
      <c r="A60" t="s">
        <v>184</v>
      </c>
      <c r="B60">
        <v>215</v>
      </c>
    </row>
    <row r="61" spans="1:2">
      <c r="A61" t="s">
        <v>123</v>
      </c>
      <c r="B61">
        <v>326</v>
      </c>
    </row>
    <row r="62" spans="1:2">
      <c r="A62" t="s">
        <v>186</v>
      </c>
      <c r="B62">
        <v>142</v>
      </c>
    </row>
    <row r="63" spans="1:2">
      <c r="A63" t="s">
        <v>123</v>
      </c>
      <c r="B63">
        <v>89</v>
      </c>
    </row>
    <row r="64" spans="1:2">
      <c r="A64" t="s">
        <v>184</v>
      </c>
      <c r="B64">
        <v>376</v>
      </c>
    </row>
    <row r="65" spans="1:2">
      <c r="A65" t="s">
        <v>186</v>
      </c>
      <c r="B65">
        <v>425</v>
      </c>
    </row>
    <row r="66" spans="1:2">
      <c r="A66" t="s">
        <v>184</v>
      </c>
      <c r="B66">
        <v>568</v>
      </c>
    </row>
    <row r="67" spans="1:2">
      <c r="A67" t="s">
        <v>123</v>
      </c>
      <c r="B67">
        <v>274</v>
      </c>
    </row>
    <row r="69" spans="1:2">
      <c r="A69" t="s">
        <v>789</v>
      </c>
      <c r="B69">
        <f>COUNT(C2:C11)</f>
        <v>0</v>
      </c>
    </row>
    <row r="70" spans="1:2">
      <c r="A70" t="s">
        <v>790</v>
      </c>
      <c r="B70" t="s">
        <v>801</v>
      </c>
    </row>
    <row r="71" spans="1:2">
      <c r="A71" t="s">
        <v>792</v>
      </c>
      <c r="B71" t="s">
        <v>802</v>
      </c>
    </row>
    <row r="74" spans="1:2">
      <c r="A74" s="55" t="s">
        <v>803</v>
      </c>
    </row>
    <row r="75" spans="1:2">
      <c r="A75" t="s">
        <v>787</v>
      </c>
      <c r="B75" t="s">
        <v>788</v>
      </c>
    </row>
    <row r="76" spans="1:2">
      <c r="A76" t="s">
        <v>186</v>
      </c>
      <c r="B76">
        <v>125</v>
      </c>
    </row>
    <row r="77" spans="1:2">
      <c r="A77" t="s">
        <v>126</v>
      </c>
      <c r="B77">
        <v>174</v>
      </c>
    </row>
    <row r="78" spans="1:2">
      <c r="A78" t="s">
        <v>184</v>
      </c>
      <c r="B78">
        <v>215</v>
      </c>
    </row>
    <row r="79" spans="1:2">
      <c r="A79" t="s">
        <v>123</v>
      </c>
      <c r="B79">
        <v>326</v>
      </c>
    </row>
    <row r="80" spans="1:2">
      <c r="A80" t="s">
        <v>186</v>
      </c>
      <c r="B80">
        <v>142</v>
      </c>
    </row>
    <row r="81" spans="1:2">
      <c r="A81" t="s">
        <v>123</v>
      </c>
      <c r="B81">
        <v>89</v>
      </c>
    </row>
    <row r="82" spans="1:2">
      <c r="A82" t="s">
        <v>184</v>
      </c>
      <c r="B82">
        <v>376</v>
      </c>
    </row>
    <row r="83" spans="1:2">
      <c r="A83" t="s">
        <v>186</v>
      </c>
      <c r="B83">
        <v>425</v>
      </c>
    </row>
    <row r="84" spans="1:2">
      <c r="A84" t="s">
        <v>184</v>
      </c>
      <c r="B84">
        <v>568</v>
      </c>
    </row>
    <row r="85" spans="1:2">
      <c r="A85" t="s">
        <v>123</v>
      </c>
      <c r="B85">
        <v>274</v>
      </c>
    </row>
    <row r="87" spans="1:2">
      <c r="A87" t="s">
        <v>789</v>
      </c>
      <c r="B87">
        <f>COUNTA(B2:B11)</f>
        <v>9</v>
      </c>
    </row>
    <row r="88" spans="1:2">
      <c r="A88" t="s">
        <v>790</v>
      </c>
      <c r="B88" t="s">
        <v>801</v>
      </c>
    </row>
    <row r="89" spans="1:2">
      <c r="A89" t="s">
        <v>792</v>
      </c>
      <c r="B89" t="s">
        <v>804</v>
      </c>
    </row>
    <row r="92" spans="1:2">
      <c r="A92" s="55" t="s">
        <v>805</v>
      </c>
    </row>
    <row r="93" spans="1:2">
      <c r="A93" t="s">
        <v>787</v>
      </c>
      <c r="B93" t="s">
        <v>788</v>
      </c>
    </row>
    <row r="94" spans="1:2">
      <c r="A94" t="s">
        <v>186</v>
      </c>
      <c r="B94">
        <v>125</v>
      </c>
    </row>
    <row r="95" spans="1:2">
      <c r="A95" t="s">
        <v>126</v>
      </c>
      <c r="B95">
        <v>174</v>
      </c>
    </row>
    <row r="96" spans="1:2">
      <c r="A96" t="s">
        <v>184</v>
      </c>
      <c r="B96">
        <v>215</v>
      </c>
    </row>
    <row r="97" spans="1:2">
      <c r="A97" t="s">
        <v>123</v>
      </c>
      <c r="B97">
        <v>326</v>
      </c>
    </row>
    <row r="98" spans="1:2">
      <c r="A98" t="s">
        <v>186</v>
      </c>
      <c r="B98">
        <v>142</v>
      </c>
    </row>
    <row r="99" spans="1:2">
      <c r="A99" t="s">
        <v>123</v>
      </c>
      <c r="B99">
        <v>89</v>
      </c>
    </row>
    <row r="100" spans="1:2">
      <c r="A100" t="s">
        <v>184</v>
      </c>
      <c r="B100">
        <v>376</v>
      </c>
    </row>
    <row r="101" spans="1:2">
      <c r="A101" t="s">
        <v>186</v>
      </c>
      <c r="B101">
        <v>425</v>
      </c>
    </row>
    <row r="102" spans="1:2">
      <c r="A102" t="s">
        <v>184</v>
      </c>
      <c r="B102">
        <v>568</v>
      </c>
    </row>
    <row r="103" spans="1:2">
      <c r="A103" t="s">
        <v>123</v>
      </c>
      <c r="B103">
        <v>274</v>
      </c>
    </row>
    <row r="105" spans="1:2">
      <c r="A105" t="s">
        <v>789</v>
      </c>
      <c r="B105">
        <f>COUNTIF(B2:B11,"Mazda")</f>
        <v>0</v>
      </c>
    </row>
    <row r="106" spans="1:2">
      <c r="A106" t="s">
        <v>790</v>
      </c>
      <c r="B106" t="s">
        <v>806</v>
      </c>
    </row>
    <row r="107" spans="1:2">
      <c r="A107" t="s">
        <v>792</v>
      </c>
      <c r="B107" t="s">
        <v>807</v>
      </c>
    </row>
    <row r="110" spans="1:2">
      <c r="A110" s="55" t="s">
        <v>808</v>
      </c>
    </row>
    <row r="111" spans="1:2">
      <c r="A111" t="s">
        <v>787</v>
      </c>
      <c r="B111" t="s">
        <v>788</v>
      </c>
    </row>
    <row r="112" spans="1:2">
      <c r="A112" t="s">
        <v>186</v>
      </c>
      <c r="B112">
        <v>125</v>
      </c>
    </row>
    <row r="113" spans="1:2">
      <c r="A113" t="s">
        <v>126</v>
      </c>
      <c r="B113">
        <v>174</v>
      </c>
    </row>
    <row r="114" spans="1:2">
      <c r="A114" t="s">
        <v>184</v>
      </c>
      <c r="B114">
        <v>215</v>
      </c>
    </row>
    <row r="115" spans="1:2">
      <c r="A115" t="s">
        <v>123</v>
      </c>
      <c r="B115">
        <v>326</v>
      </c>
    </row>
    <row r="116" spans="1:2">
      <c r="A116" t="s">
        <v>186</v>
      </c>
      <c r="B116">
        <v>142</v>
      </c>
    </row>
    <row r="117" spans="1:2">
      <c r="A117" t="s">
        <v>123</v>
      </c>
      <c r="B117">
        <v>89</v>
      </c>
    </row>
    <row r="118" spans="1:2">
      <c r="A118" t="s">
        <v>184</v>
      </c>
      <c r="B118">
        <v>376</v>
      </c>
    </row>
    <row r="119" spans="1:2">
      <c r="A119" t="s">
        <v>186</v>
      </c>
      <c r="B119">
        <v>425</v>
      </c>
    </row>
    <row r="120" spans="1:2">
      <c r="A120" t="s">
        <v>184</v>
      </c>
      <c r="B120">
        <v>568</v>
      </c>
    </row>
    <row r="121" spans="1:2">
      <c r="A121" t="s">
        <v>123</v>
      </c>
      <c r="B121">
        <v>274</v>
      </c>
    </row>
    <row r="123" spans="1:2">
      <c r="A123" t="s">
        <v>789</v>
      </c>
      <c r="B123" t="str">
        <f>CONCATENATE(B2," - ",C2)</f>
        <v xml:space="preserve"> - </v>
      </c>
    </row>
    <row r="124" spans="1:2">
      <c r="A124" t="s">
        <v>790</v>
      </c>
      <c r="B124" t="s">
        <v>809</v>
      </c>
    </row>
    <row r="125" spans="1:2">
      <c r="A125" t="s">
        <v>792</v>
      </c>
      <c r="B125" t="s">
        <v>810</v>
      </c>
    </row>
    <row r="128" spans="1:2">
      <c r="A128" s="55" t="s">
        <v>811</v>
      </c>
    </row>
    <row r="129" spans="1:2">
      <c r="A129" t="s">
        <v>787</v>
      </c>
      <c r="B129" t="s">
        <v>788</v>
      </c>
    </row>
    <row r="130" spans="1:2">
      <c r="A130" t="s">
        <v>186</v>
      </c>
      <c r="B130">
        <v>125</v>
      </c>
    </row>
    <row r="131" spans="1:2">
      <c r="A131" t="s">
        <v>126</v>
      </c>
      <c r="B131">
        <v>174</v>
      </c>
    </row>
    <row r="132" spans="1:2">
      <c r="A132" t="s">
        <v>184</v>
      </c>
      <c r="B132">
        <v>215</v>
      </c>
    </row>
    <row r="133" spans="1:2">
      <c r="A133" t="s">
        <v>123</v>
      </c>
      <c r="B133">
        <v>326</v>
      </c>
    </row>
    <row r="134" spans="1:2">
      <c r="A134" t="s">
        <v>186</v>
      </c>
      <c r="B134">
        <v>142</v>
      </c>
    </row>
    <row r="135" spans="1:2">
      <c r="A135" t="s">
        <v>123</v>
      </c>
      <c r="B135">
        <v>89</v>
      </c>
    </row>
    <row r="136" spans="1:2">
      <c r="A136" t="s">
        <v>184</v>
      </c>
      <c r="B136">
        <v>376</v>
      </c>
    </row>
    <row r="137" spans="1:2">
      <c r="A137" t="s">
        <v>186</v>
      </c>
      <c r="B137">
        <v>425</v>
      </c>
    </row>
    <row r="138" spans="1:2">
      <c r="A138" t="s">
        <v>184</v>
      </c>
      <c r="B138">
        <v>568</v>
      </c>
    </row>
    <row r="139" spans="1:2">
      <c r="A139" t="s">
        <v>123</v>
      </c>
      <c r="B139">
        <v>274</v>
      </c>
    </row>
    <row r="141" spans="1:2">
      <c r="A141" t="s">
        <v>789</v>
      </c>
      <c r="B141" t="str">
        <f>IF(C2&gt;300,"High","Low")</f>
        <v>Low</v>
      </c>
    </row>
    <row r="142" spans="1:2">
      <c r="A142" t="s">
        <v>790</v>
      </c>
      <c r="B142" t="s">
        <v>812</v>
      </c>
    </row>
    <row r="143" spans="1:2">
      <c r="A143" t="s">
        <v>792</v>
      </c>
      <c r="B143" t="s">
        <v>813</v>
      </c>
    </row>
    <row r="146" spans="1:2">
      <c r="A146" s="55" t="s">
        <v>814</v>
      </c>
    </row>
    <row r="147" spans="1:2">
      <c r="A147" t="s">
        <v>787</v>
      </c>
      <c r="B147" t="s">
        <v>788</v>
      </c>
    </row>
    <row r="148" spans="1:2">
      <c r="A148" t="s">
        <v>186</v>
      </c>
      <c r="B148">
        <v>125</v>
      </c>
    </row>
    <row r="149" spans="1:2">
      <c r="A149" t="s">
        <v>126</v>
      </c>
      <c r="B149">
        <v>174</v>
      </c>
    </row>
    <row r="150" spans="1:2">
      <c r="A150" t="s">
        <v>184</v>
      </c>
      <c r="B150">
        <v>215</v>
      </c>
    </row>
    <row r="151" spans="1:2">
      <c r="A151" t="s">
        <v>123</v>
      </c>
      <c r="B151">
        <v>326</v>
      </c>
    </row>
    <row r="152" spans="1:2">
      <c r="A152" t="s">
        <v>186</v>
      </c>
      <c r="B152">
        <v>142</v>
      </c>
    </row>
    <row r="153" spans="1:2">
      <c r="A153" t="s">
        <v>123</v>
      </c>
      <c r="B153">
        <v>89</v>
      </c>
    </row>
    <row r="154" spans="1:2">
      <c r="A154" t="s">
        <v>184</v>
      </c>
      <c r="B154">
        <v>376</v>
      </c>
    </row>
    <row r="155" spans="1:2">
      <c r="A155" t="s">
        <v>186</v>
      </c>
      <c r="B155">
        <v>425</v>
      </c>
    </row>
    <row r="156" spans="1:2">
      <c r="A156" t="s">
        <v>184</v>
      </c>
      <c r="B156">
        <v>568</v>
      </c>
    </row>
    <row r="157" spans="1:2">
      <c r="A157" t="s">
        <v>123</v>
      </c>
      <c r="B157">
        <v>274</v>
      </c>
    </row>
    <row r="159" spans="1:2">
      <c r="A159" t="s">
        <v>789</v>
      </c>
      <c r="B159" t="e">
        <f>VLOOKUP("Toyota",B2:C11,2,FALSE)</f>
        <v>#N/A</v>
      </c>
    </row>
    <row r="160" spans="1:2">
      <c r="A160" t="s">
        <v>790</v>
      </c>
      <c r="B160" t="s">
        <v>815</v>
      </c>
    </row>
    <row r="161" spans="1:2">
      <c r="A161" t="s">
        <v>792</v>
      </c>
      <c r="B161" t="s">
        <v>816</v>
      </c>
    </row>
    <row r="164" spans="1:2">
      <c r="A164" s="55" t="s">
        <v>817</v>
      </c>
    </row>
    <row r="165" spans="1:2">
      <c r="A165" t="s">
        <v>787</v>
      </c>
      <c r="B165" t="s">
        <v>788</v>
      </c>
    </row>
    <row r="166" spans="1:2">
      <c r="A166" t="s">
        <v>186</v>
      </c>
      <c r="B166">
        <v>125</v>
      </c>
    </row>
    <row r="167" spans="1:2">
      <c r="A167" t="s">
        <v>126</v>
      </c>
      <c r="B167">
        <v>174</v>
      </c>
    </row>
    <row r="168" spans="1:2">
      <c r="A168" t="s">
        <v>184</v>
      </c>
      <c r="B168">
        <v>215</v>
      </c>
    </row>
    <row r="169" spans="1:2">
      <c r="A169" t="s">
        <v>123</v>
      </c>
      <c r="B169">
        <v>326</v>
      </c>
    </row>
    <row r="170" spans="1:2">
      <c r="A170" t="s">
        <v>186</v>
      </c>
      <c r="B170">
        <v>142</v>
      </c>
    </row>
    <row r="171" spans="1:2">
      <c r="A171" t="s">
        <v>123</v>
      </c>
      <c r="B171">
        <v>89</v>
      </c>
    </row>
    <row r="172" spans="1:2">
      <c r="A172" t="s">
        <v>184</v>
      </c>
      <c r="B172">
        <v>376</v>
      </c>
    </row>
    <row r="173" spans="1:2">
      <c r="A173" t="s">
        <v>186</v>
      </c>
      <c r="B173">
        <v>425</v>
      </c>
    </row>
    <row r="174" spans="1:2">
      <c r="A174" t="s">
        <v>184</v>
      </c>
      <c r="B174">
        <v>568</v>
      </c>
    </row>
    <row r="175" spans="1:2">
      <c r="A175" t="s">
        <v>123</v>
      </c>
      <c r="B175">
        <v>274</v>
      </c>
    </row>
    <row r="177" spans="1:2">
      <c r="A177" t="s">
        <v>818</v>
      </c>
      <c r="B177" t="s">
        <v>819</v>
      </c>
    </row>
    <row r="178" spans="1:2">
      <c r="A178" t="s">
        <v>820</v>
      </c>
      <c r="B178" t="s">
        <v>821</v>
      </c>
    </row>
    <row r="179" spans="1:2">
      <c r="A179" t="s">
        <v>822</v>
      </c>
      <c r="B179" t="s">
        <v>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DFD5-7839-4857-B44B-9EC7ABAA7112}">
  <dimension ref="B2:H33"/>
  <sheetViews>
    <sheetView workbookViewId="0">
      <selection activeCell="D16" sqref="D16"/>
    </sheetView>
  </sheetViews>
  <sheetFormatPr defaultRowHeight="14.5"/>
  <sheetData>
    <row r="2" spans="2:8" ht="18.5">
      <c r="B2" s="52" t="s">
        <v>0</v>
      </c>
      <c r="C2" s="52" t="s">
        <v>8</v>
      </c>
      <c r="D2" s="52" t="s">
        <v>759</v>
      </c>
      <c r="E2" s="52" t="s">
        <v>760</v>
      </c>
      <c r="F2" s="51"/>
      <c r="G2" s="52" t="s">
        <v>0</v>
      </c>
      <c r="H2" s="52" t="s">
        <v>761</v>
      </c>
    </row>
    <row r="3" spans="2:8" ht="18.5">
      <c r="B3" s="53" t="s">
        <v>3</v>
      </c>
      <c r="C3" s="53" t="s">
        <v>16</v>
      </c>
      <c r="D3" s="53" t="s">
        <v>762</v>
      </c>
      <c r="E3" s="53">
        <v>23</v>
      </c>
      <c r="F3" s="51"/>
      <c r="G3" s="51" t="s">
        <v>763</v>
      </c>
      <c r="H3" s="51">
        <v>50</v>
      </c>
    </row>
    <row r="4" spans="2:8" ht="18.5">
      <c r="B4" s="53" t="s">
        <v>4</v>
      </c>
      <c r="C4" s="53" t="s">
        <v>10</v>
      </c>
      <c r="D4" s="53" t="s">
        <v>764</v>
      </c>
      <c r="E4" s="53">
        <v>20</v>
      </c>
      <c r="F4" s="51"/>
      <c r="G4" s="51"/>
      <c r="H4" s="51"/>
    </row>
    <row r="5" spans="2:8" ht="18.5">
      <c r="B5" s="53" t="s">
        <v>2</v>
      </c>
      <c r="C5" s="53" t="s">
        <v>12</v>
      </c>
      <c r="D5" s="53" t="s">
        <v>765</v>
      </c>
      <c r="E5" s="53">
        <v>30</v>
      </c>
      <c r="F5" s="51"/>
      <c r="G5" s="52" t="s">
        <v>8</v>
      </c>
      <c r="H5" s="52" t="s">
        <v>760</v>
      </c>
    </row>
    <row r="6" spans="2:8" ht="18.5">
      <c r="B6" s="53" t="s">
        <v>1</v>
      </c>
      <c r="C6" s="53" t="s">
        <v>16</v>
      </c>
      <c r="D6" s="53" t="s">
        <v>766</v>
      </c>
      <c r="E6" s="53">
        <v>40</v>
      </c>
      <c r="F6" s="51"/>
      <c r="G6" s="53" t="s">
        <v>767</v>
      </c>
      <c r="H6" s="53">
        <v>64</v>
      </c>
    </row>
    <row r="7" spans="2:8" ht="18.5">
      <c r="B7" s="53" t="s">
        <v>1</v>
      </c>
      <c r="C7" s="53" t="s">
        <v>10</v>
      </c>
      <c r="D7" s="53" t="s">
        <v>768</v>
      </c>
      <c r="E7" s="53">
        <v>34</v>
      </c>
      <c r="F7" s="51"/>
      <c r="G7" s="51"/>
      <c r="H7" s="51"/>
    </row>
    <row r="8" spans="2:8" ht="18.5">
      <c r="B8" s="53" t="s">
        <v>3</v>
      </c>
      <c r="C8" s="53" t="s">
        <v>12</v>
      </c>
      <c r="D8" s="53" t="s">
        <v>769</v>
      </c>
      <c r="E8" s="53">
        <v>54</v>
      </c>
      <c r="F8" s="51"/>
      <c r="G8" s="51"/>
      <c r="H8" s="51"/>
    </row>
    <row r="9" spans="2:8" ht="18.5">
      <c r="B9" s="53" t="s">
        <v>4</v>
      </c>
      <c r="C9" s="53" t="s">
        <v>16</v>
      </c>
      <c r="D9" s="53" t="s">
        <v>770</v>
      </c>
      <c r="E9" s="53">
        <v>30</v>
      </c>
      <c r="F9" s="51"/>
      <c r="G9" s="51"/>
      <c r="H9" s="51"/>
    </row>
    <row r="10" spans="2:8" ht="18.5">
      <c r="B10" s="53" t="s">
        <v>2</v>
      </c>
      <c r="C10" s="53" t="s">
        <v>10</v>
      </c>
      <c r="D10" s="53" t="s">
        <v>771</v>
      </c>
      <c r="E10" s="53">
        <v>10</v>
      </c>
      <c r="F10" s="51"/>
      <c r="G10" s="51"/>
      <c r="H10" s="51"/>
    </row>
    <row r="11" spans="2:8" ht="18.5">
      <c r="B11" s="53" t="s">
        <v>1</v>
      </c>
      <c r="C11" s="53" t="s">
        <v>12</v>
      </c>
      <c r="D11" s="53" t="s">
        <v>772</v>
      </c>
      <c r="E11" s="53">
        <v>20</v>
      </c>
      <c r="F11" s="51"/>
      <c r="G11" s="51"/>
      <c r="H11" s="51"/>
    </row>
    <row r="12" spans="2:8" ht="18.5">
      <c r="B12" s="53" t="s">
        <v>1</v>
      </c>
      <c r="C12" s="53" t="s">
        <v>16</v>
      </c>
      <c r="D12" s="53" t="s">
        <v>773</v>
      </c>
      <c r="E12" s="53">
        <v>25</v>
      </c>
      <c r="F12" s="51"/>
      <c r="G12" s="51"/>
      <c r="H12" s="51"/>
    </row>
    <row r="14" spans="2:8" ht="18.5">
      <c r="B14" s="51"/>
      <c r="C14" s="51"/>
      <c r="D14" s="51"/>
      <c r="E14" s="51">
        <v>286</v>
      </c>
      <c r="F14" s="51"/>
      <c r="G14" s="51"/>
      <c r="H14" s="51"/>
    </row>
    <row r="23" spans="2:8" ht="18.5">
      <c r="B23" s="52" t="s">
        <v>0</v>
      </c>
      <c r="C23" s="52" t="s">
        <v>8</v>
      </c>
      <c r="D23" s="52" t="s">
        <v>759</v>
      </c>
      <c r="E23" s="52" t="s">
        <v>760</v>
      </c>
      <c r="F23" s="51"/>
      <c r="G23" s="52" t="s">
        <v>0</v>
      </c>
      <c r="H23" s="52" t="s">
        <v>760</v>
      </c>
    </row>
    <row r="24" spans="2:8" ht="18.5">
      <c r="B24" s="53" t="s">
        <v>774</v>
      </c>
      <c r="C24" s="53" t="s">
        <v>16</v>
      </c>
      <c r="D24" s="53" t="s">
        <v>762</v>
      </c>
      <c r="E24" s="53">
        <v>23</v>
      </c>
      <c r="F24" s="51"/>
      <c r="G24" s="53" t="s">
        <v>775</v>
      </c>
      <c r="H24" s="53">
        <v>119</v>
      </c>
    </row>
    <row r="25" spans="2:8" ht="18.5">
      <c r="B25" s="53" t="s">
        <v>776</v>
      </c>
      <c r="C25" s="53" t="s">
        <v>10</v>
      </c>
      <c r="D25" s="53" t="s">
        <v>764</v>
      </c>
      <c r="E25" s="53">
        <v>20</v>
      </c>
      <c r="F25" s="51"/>
      <c r="G25" s="51"/>
      <c r="H25" s="51"/>
    </row>
    <row r="26" spans="2:8" ht="18.5">
      <c r="B26" s="53" t="s">
        <v>777</v>
      </c>
      <c r="C26" s="53" t="s">
        <v>12</v>
      </c>
      <c r="D26" s="53" t="s">
        <v>765</v>
      </c>
      <c r="E26" s="53">
        <v>30</v>
      </c>
      <c r="F26" s="51"/>
      <c r="G26" s="51"/>
      <c r="H26" s="51"/>
    </row>
    <row r="27" spans="2:8" ht="18.5">
      <c r="B27" s="53" t="s">
        <v>778</v>
      </c>
      <c r="C27" s="53" t="s">
        <v>16</v>
      </c>
      <c r="D27" s="53" t="s">
        <v>766</v>
      </c>
      <c r="E27" s="53">
        <v>40</v>
      </c>
      <c r="F27" s="51"/>
      <c r="G27" s="51"/>
      <c r="H27" s="51"/>
    </row>
    <row r="28" spans="2:8" ht="18.5">
      <c r="B28" s="53" t="s">
        <v>1</v>
      </c>
      <c r="C28" s="53" t="s">
        <v>10</v>
      </c>
      <c r="D28" s="53" t="s">
        <v>768</v>
      </c>
      <c r="E28" s="53">
        <v>34</v>
      </c>
      <c r="F28" s="51"/>
      <c r="G28" s="51"/>
      <c r="H28" s="51"/>
    </row>
    <row r="29" spans="2:8" ht="18.5">
      <c r="B29" s="53" t="s">
        <v>779</v>
      </c>
      <c r="C29" s="53" t="s">
        <v>12</v>
      </c>
      <c r="D29" s="53" t="s">
        <v>769</v>
      </c>
      <c r="E29" s="53">
        <v>54</v>
      </c>
      <c r="F29" s="51"/>
      <c r="G29" s="51"/>
      <c r="H29" s="51"/>
    </row>
    <row r="30" spans="2:8" ht="18.5">
      <c r="B30" s="53" t="s">
        <v>4</v>
      </c>
      <c r="C30" s="53" t="s">
        <v>16</v>
      </c>
      <c r="D30" s="53" t="s">
        <v>770</v>
      </c>
      <c r="E30" s="53">
        <v>30</v>
      </c>
      <c r="F30" s="51"/>
      <c r="G30" s="51"/>
      <c r="H30" s="51"/>
    </row>
    <row r="31" spans="2:8" ht="18.5">
      <c r="B31" s="53" t="s">
        <v>780</v>
      </c>
      <c r="C31" s="53" t="s">
        <v>10</v>
      </c>
      <c r="D31" s="53" t="s">
        <v>771</v>
      </c>
      <c r="E31" s="53">
        <v>10</v>
      </c>
      <c r="F31" s="51"/>
      <c r="G31" s="51"/>
      <c r="H31" s="51"/>
    </row>
    <row r="32" spans="2:8" ht="18.5">
      <c r="B32" s="53" t="s">
        <v>781</v>
      </c>
      <c r="C32" s="53" t="s">
        <v>12</v>
      </c>
      <c r="D32" s="53" t="s">
        <v>772</v>
      </c>
      <c r="E32" s="53">
        <v>20</v>
      </c>
      <c r="F32" s="51"/>
      <c r="G32" s="51"/>
      <c r="H32" s="51"/>
    </row>
    <row r="33" spans="2:5" ht="18.5">
      <c r="B33" s="53" t="s">
        <v>1</v>
      </c>
      <c r="C33" s="53" t="s">
        <v>16</v>
      </c>
      <c r="D33" s="53" t="s">
        <v>773</v>
      </c>
      <c r="E33" s="53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DAA5-86F5-4EB8-83C6-68DE4DC6E674}">
  <dimension ref="B2:I12"/>
  <sheetViews>
    <sheetView workbookViewId="0">
      <selection sqref="A1:XFD1048576"/>
    </sheetView>
  </sheetViews>
  <sheetFormatPr defaultRowHeight="14.5"/>
  <cols>
    <col min="2" max="2" width="19.1796875" customWidth="1"/>
    <col min="4" max="4" width="16.81640625" customWidth="1"/>
    <col min="7" max="7" width="18.36328125" customWidth="1"/>
    <col min="8" max="8" width="12.81640625" customWidth="1"/>
  </cols>
  <sheetData>
    <row r="2" spans="2:9" ht="18.5">
      <c r="B2" s="54" t="s">
        <v>0</v>
      </c>
      <c r="C2" s="54" t="s">
        <v>8</v>
      </c>
      <c r="D2" s="54" t="s">
        <v>759</v>
      </c>
      <c r="E2" s="54" t="s">
        <v>760</v>
      </c>
      <c r="G2" s="54" t="s">
        <v>0</v>
      </c>
      <c r="H2" s="54" t="s">
        <v>8</v>
      </c>
      <c r="I2" s="54" t="s">
        <v>760</v>
      </c>
    </row>
    <row r="3" spans="2:9">
      <c r="B3" s="37" t="s">
        <v>3</v>
      </c>
      <c r="C3" s="37" t="s">
        <v>16</v>
      </c>
      <c r="D3" s="37" t="s">
        <v>762</v>
      </c>
      <c r="E3" s="37">
        <v>23</v>
      </c>
      <c r="G3" s="37" t="s">
        <v>775</v>
      </c>
      <c r="H3" s="37" t="s">
        <v>782</v>
      </c>
      <c r="I3" s="37">
        <f>SUMIFS(E2:E12,B2:B12,G3,C2:C12,H3)</f>
        <v>65</v>
      </c>
    </row>
    <row r="4" spans="2:9">
      <c r="B4" s="37" t="s">
        <v>4</v>
      </c>
      <c r="C4" s="37" t="s">
        <v>10</v>
      </c>
      <c r="D4" s="37" t="s">
        <v>783</v>
      </c>
      <c r="E4" s="37">
        <v>20</v>
      </c>
    </row>
    <row r="5" spans="2:9">
      <c r="B5" s="37" t="s">
        <v>2</v>
      </c>
      <c r="C5" s="37" t="s">
        <v>12</v>
      </c>
      <c r="D5" s="37" t="s">
        <v>765</v>
      </c>
      <c r="E5" s="37">
        <v>30</v>
      </c>
    </row>
    <row r="6" spans="2:9">
      <c r="B6" s="37" t="s">
        <v>1</v>
      </c>
      <c r="C6" s="37" t="s">
        <v>16</v>
      </c>
      <c r="D6" s="37" t="s">
        <v>762</v>
      </c>
      <c r="E6" s="37">
        <v>40</v>
      </c>
    </row>
    <row r="7" spans="2:9">
      <c r="B7" s="37" t="s">
        <v>1</v>
      </c>
      <c r="C7" s="37" t="s">
        <v>10</v>
      </c>
      <c r="D7" s="37" t="s">
        <v>783</v>
      </c>
      <c r="E7" s="37">
        <v>34</v>
      </c>
    </row>
    <row r="8" spans="2:9">
      <c r="B8" s="37" t="s">
        <v>3</v>
      </c>
      <c r="C8" s="37" t="s">
        <v>12</v>
      </c>
      <c r="D8" s="37" t="s">
        <v>765</v>
      </c>
      <c r="E8" s="37">
        <v>54</v>
      </c>
    </row>
    <row r="9" spans="2:9">
      <c r="B9" s="37" t="s">
        <v>4</v>
      </c>
      <c r="C9" s="37" t="s">
        <v>16</v>
      </c>
      <c r="D9" s="37" t="s">
        <v>762</v>
      </c>
      <c r="E9" s="37">
        <v>30</v>
      </c>
    </row>
    <row r="10" spans="2:9">
      <c r="B10" s="37" t="s">
        <v>2</v>
      </c>
      <c r="C10" s="37" t="s">
        <v>10</v>
      </c>
      <c r="D10" s="37" t="s">
        <v>783</v>
      </c>
      <c r="E10" s="37">
        <v>10</v>
      </c>
    </row>
    <row r="11" spans="2:9">
      <c r="B11" s="37" t="s">
        <v>1</v>
      </c>
      <c r="C11" s="37" t="s">
        <v>12</v>
      </c>
      <c r="D11" s="37" t="s">
        <v>765</v>
      </c>
      <c r="E11" s="37">
        <v>20</v>
      </c>
    </row>
    <row r="12" spans="2:9">
      <c r="B12" s="37" t="s">
        <v>1</v>
      </c>
      <c r="C12" s="37" t="s">
        <v>16</v>
      </c>
      <c r="D12" s="37" t="s">
        <v>762</v>
      </c>
      <c r="E12" s="37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43BE-33AF-4B46-8DC0-21AFFDD781C1}">
  <dimension ref="B2:I12"/>
  <sheetViews>
    <sheetView workbookViewId="0">
      <selection activeCell="E26" sqref="E26"/>
    </sheetView>
  </sheetViews>
  <sheetFormatPr defaultRowHeight="14.5"/>
  <cols>
    <col min="2" max="2" width="19.1796875" customWidth="1"/>
    <col min="4" max="4" width="16.81640625" customWidth="1"/>
    <col min="7" max="7" width="18.36328125" customWidth="1"/>
    <col min="8" max="8" width="12.81640625" customWidth="1"/>
  </cols>
  <sheetData>
    <row r="2" spans="2:9" ht="18.5">
      <c r="B2" s="54" t="s">
        <v>0</v>
      </c>
      <c r="C2" s="54" t="s">
        <v>8</v>
      </c>
      <c r="D2" s="54" t="s">
        <v>759</v>
      </c>
      <c r="E2" s="54" t="s">
        <v>760</v>
      </c>
      <c r="G2" s="54" t="s">
        <v>0</v>
      </c>
      <c r="H2" s="54" t="s">
        <v>8</v>
      </c>
      <c r="I2" s="54" t="s">
        <v>760</v>
      </c>
    </row>
    <row r="3" spans="2:9">
      <c r="B3" s="37" t="s">
        <v>3</v>
      </c>
      <c r="C3" s="37" t="s">
        <v>16</v>
      </c>
      <c r="D3" s="37" t="s">
        <v>762</v>
      </c>
      <c r="E3" s="37">
        <v>23</v>
      </c>
      <c r="G3" s="37" t="s">
        <v>775</v>
      </c>
      <c r="H3" s="37" t="s">
        <v>782</v>
      </c>
      <c r="I3" s="37">
        <f>SUMIFS(E2:E12,B2:B12,G3,C2:C12,H3)</f>
        <v>65</v>
      </c>
    </row>
    <row r="4" spans="2:9">
      <c r="B4" s="37" t="s">
        <v>4</v>
      </c>
      <c r="C4" s="37" t="s">
        <v>10</v>
      </c>
      <c r="D4" s="37" t="s">
        <v>783</v>
      </c>
      <c r="E4" s="37">
        <v>20</v>
      </c>
    </row>
    <row r="5" spans="2:9">
      <c r="B5" s="37" t="s">
        <v>2</v>
      </c>
      <c r="C5" s="37" t="s">
        <v>12</v>
      </c>
      <c r="D5" s="37" t="s">
        <v>765</v>
      </c>
      <c r="E5" s="37">
        <v>30</v>
      </c>
    </row>
    <row r="6" spans="2:9">
      <c r="B6" s="37" t="s">
        <v>1</v>
      </c>
      <c r="C6" s="37" t="s">
        <v>16</v>
      </c>
      <c r="D6" s="37" t="s">
        <v>762</v>
      </c>
      <c r="E6" s="37">
        <v>40</v>
      </c>
    </row>
    <row r="7" spans="2:9">
      <c r="B7" s="37" t="s">
        <v>1</v>
      </c>
      <c r="C7" s="37" t="s">
        <v>10</v>
      </c>
      <c r="D7" s="37" t="s">
        <v>783</v>
      </c>
      <c r="E7" s="37">
        <v>34</v>
      </c>
    </row>
    <row r="8" spans="2:9">
      <c r="B8" s="37" t="s">
        <v>3</v>
      </c>
      <c r="C8" s="37" t="s">
        <v>12</v>
      </c>
      <c r="D8" s="37" t="s">
        <v>765</v>
      </c>
      <c r="E8" s="37">
        <v>54</v>
      </c>
    </row>
    <row r="9" spans="2:9">
      <c r="B9" s="37" t="s">
        <v>4</v>
      </c>
      <c r="C9" s="37" t="s">
        <v>16</v>
      </c>
      <c r="D9" s="37" t="s">
        <v>762</v>
      </c>
      <c r="E9" s="37">
        <v>30</v>
      </c>
    </row>
    <row r="10" spans="2:9">
      <c r="B10" s="37" t="s">
        <v>2</v>
      </c>
      <c r="C10" s="37" t="s">
        <v>10</v>
      </c>
      <c r="D10" s="37" t="s">
        <v>783</v>
      </c>
      <c r="E10" s="37">
        <v>10</v>
      </c>
    </row>
    <row r="11" spans="2:9">
      <c r="B11" s="37" t="s">
        <v>1</v>
      </c>
      <c r="C11" s="37" t="s">
        <v>12</v>
      </c>
      <c r="D11" s="37" t="s">
        <v>765</v>
      </c>
      <c r="E11" s="37">
        <v>20</v>
      </c>
    </row>
    <row r="12" spans="2:9">
      <c r="B12" s="37" t="s">
        <v>1</v>
      </c>
      <c r="C12" s="37" t="s">
        <v>16</v>
      </c>
      <c r="D12" s="37" t="s">
        <v>762</v>
      </c>
      <c r="E12" s="37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52EF-2A44-42DB-A151-BD5747C9B4DA}">
  <dimension ref="B2:I12"/>
  <sheetViews>
    <sheetView workbookViewId="0">
      <selection sqref="A1:XFD1048576"/>
    </sheetView>
  </sheetViews>
  <sheetFormatPr defaultRowHeight="14.5"/>
  <cols>
    <col min="2" max="2" width="19.1796875" customWidth="1"/>
    <col min="4" max="4" width="16.81640625" customWidth="1"/>
    <col min="7" max="7" width="18.36328125" customWidth="1"/>
    <col min="8" max="8" width="12.81640625" customWidth="1"/>
    <col min="9" max="9" width="17" customWidth="1"/>
  </cols>
  <sheetData>
    <row r="2" spans="2:9" ht="18.5">
      <c r="B2" s="54" t="s">
        <v>0</v>
      </c>
      <c r="C2" s="54" t="s">
        <v>8</v>
      </c>
      <c r="D2" s="54" t="s">
        <v>759</v>
      </c>
      <c r="E2" s="54" t="s">
        <v>760</v>
      </c>
      <c r="G2" s="54" t="s">
        <v>0</v>
      </c>
      <c r="H2" s="54" t="s">
        <v>8</v>
      </c>
      <c r="I2" s="54" t="s">
        <v>784</v>
      </c>
    </row>
    <row r="3" spans="2:9">
      <c r="B3" s="37" t="s">
        <v>3</v>
      </c>
      <c r="C3" s="37" t="s">
        <v>16</v>
      </c>
      <c r="D3" s="37" t="s">
        <v>762</v>
      </c>
      <c r="E3" s="37">
        <v>23</v>
      </c>
      <c r="G3" s="37" t="s">
        <v>785</v>
      </c>
      <c r="H3" s="37" t="s">
        <v>782</v>
      </c>
      <c r="I3" s="37">
        <f>COUNTIFS(B2:B12,G3,C2:C12,H3)</f>
        <v>2</v>
      </c>
    </row>
    <row r="4" spans="2:9">
      <c r="B4" s="37" t="s">
        <v>4</v>
      </c>
      <c r="C4" s="37" t="s">
        <v>10</v>
      </c>
      <c r="D4" s="37" t="s">
        <v>783</v>
      </c>
      <c r="E4" s="37">
        <v>20</v>
      </c>
    </row>
    <row r="5" spans="2:9">
      <c r="B5" s="37" t="s">
        <v>2</v>
      </c>
      <c r="C5" s="37" t="s">
        <v>12</v>
      </c>
      <c r="D5" s="37" t="s">
        <v>765</v>
      </c>
      <c r="E5" s="37">
        <v>30</v>
      </c>
    </row>
    <row r="6" spans="2:9">
      <c r="B6" s="37" t="s">
        <v>1</v>
      </c>
      <c r="C6" s="37" t="s">
        <v>16</v>
      </c>
      <c r="D6" s="37" t="s">
        <v>762</v>
      </c>
      <c r="E6" s="37">
        <v>40</v>
      </c>
    </row>
    <row r="7" spans="2:9">
      <c r="B7" s="37" t="s">
        <v>1</v>
      </c>
      <c r="C7" s="37" t="s">
        <v>10</v>
      </c>
      <c r="D7" s="37" t="s">
        <v>783</v>
      </c>
      <c r="E7" s="37">
        <v>34</v>
      </c>
    </row>
    <row r="8" spans="2:9">
      <c r="B8" s="37" t="s">
        <v>3</v>
      </c>
      <c r="C8" s="37" t="s">
        <v>12</v>
      </c>
      <c r="D8" s="37" t="s">
        <v>765</v>
      </c>
      <c r="E8" s="37">
        <v>54</v>
      </c>
    </row>
    <row r="9" spans="2:9">
      <c r="B9" s="37" t="s">
        <v>4</v>
      </c>
      <c r="C9" s="37" t="s">
        <v>16</v>
      </c>
      <c r="D9" s="37" t="s">
        <v>762</v>
      </c>
      <c r="E9" s="37">
        <v>30</v>
      </c>
    </row>
    <row r="10" spans="2:9">
      <c r="B10" s="37" t="s">
        <v>2</v>
      </c>
      <c r="C10" s="37" t="s">
        <v>10</v>
      </c>
      <c r="D10" s="37" t="s">
        <v>783</v>
      </c>
      <c r="E10" s="37">
        <v>10</v>
      </c>
    </row>
    <row r="11" spans="2:9">
      <c r="B11" s="37" t="s">
        <v>1</v>
      </c>
      <c r="C11" s="37" t="s">
        <v>12</v>
      </c>
      <c r="D11" s="37" t="s">
        <v>765</v>
      </c>
      <c r="E11" s="37">
        <v>20</v>
      </c>
    </row>
    <row r="12" spans="2:9">
      <c r="B12" s="37" t="s">
        <v>1</v>
      </c>
      <c r="C12" s="37" t="s">
        <v>16</v>
      </c>
      <c r="D12" s="37" t="s">
        <v>762</v>
      </c>
      <c r="E12" s="37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862B-6847-4918-B39D-F8D2B5C52DF1}">
  <dimension ref="A1:F16"/>
  <sheetViews>
    <sheetView workbookViewId="0">
      <selection activeCell="F4" sqref="F4"/>
    </sheetView>
  </sheetViews>
  <sheetFormatPr defaultColWidth="10.6328125" defaultRowHeight="14.5"/>
  <cols>
    <col min="1" max="1" width="24.08984375" customWidth="1"/>
    <col min="4" max="4" width="20.453125" customWidth="1"/>
    <col min="6" max="6" width="24.36328125" bestFit="1" customWidth="1"/>
  </cols>
  <sheetData>
    <row r="1" spans="1:6" ht="16" thickBot="1">
      <c r="A1" s="56" t="s">
        <v>25</v>
      </c>
      <c r="B1" s="56"/>
      <c r="C1" s="56"/>
      <c r="D1" s="56"/>
    </row>
    <row r="2" spans="1:6">
      <c r="A2" s="57" t="s">
        <v>26</v>
      </c>
      <c r="B2" s="57"/>
      <c r="C2" s="57"/>
      <c r="D2" s="57"/>
    </row>
    <row r="4" spans="1:6" ht="18" thickBot="1">
      <c r="A4" s="2" t="s">
        <v>27</v>
      </c>
      <c r="D4" s="7" t="s">
        <v>28</v>
      </c>
      <c r="F4" s="2" t="s">
        <v>27</v>
      </c>
    </row>
    <row r="5" spans="1:6" ht="17.5">
      <c r="A5" t="s">
        <v>29</v>
      </c>
      <c r="D5" s="8" t="s">
        <v>30</v>
      </c>
      <c r="F5" s="3" t="s">
        <v>9</v>
      </c>
    </row>
    <row r="6" spans="1:6" ht="17.5">
      <c r="A6" t="s">
        <v>31</v>
      </c>
      <c r="D6" s="9" t="s">
        <v>32</v>
      </c>
      <c r="F6" s="4" t="s">
        <v>11</v>
      </c>
    </row>
    <row r="7" spans="1:6" ht="17.5">
      <c r="A7" t="s">
        <v>33</v>
      </c>
      <c r="D7" s="10" t="s">
        <v>34</v>
      </c>
      <c r="F7" s="3" t="s">
        <v>13</v>
      </c>
    </row>
    <row r="8" spans="1:6" ht="17.5">
      <c r="A8" t="s">
        <v>35</v>
      </c>
      <c r="D8" s="9" t="s">
        <v>36</v>
      </c>
      <c r="F8" s="4" t="s">
        <v>15</v>
      </c>
    </row>
    <row r="9" spans="1:6" ht="17.5">
      <c r="A9" t="s">
        <v>37</v>
      </c>
      <c r="D9" s="6" t="s">
        <v>38</v>
      </c>
      <c r="F9" s="3" t="s">
        <v>17</v>
      </c>
    </row>
    <row r="10" spans="1:6" ht="17.5">
      <c r="A10" t="s">
        <v>39</v>
      </c>
      <c r="F10" s="4" t="s">
        <v>18</v>
      </c>
    </row>
    <row r="11" spans="1:6" ht="17.5">
      <c r="A11" t="s">
        <v>40</v>
      </c>
      <c r="F11" s="5" t="s">
        <v>19</v>
      </c>
    </row>
    <row r="12" spans="1:6" ht="17.5">
      <c r="A12" t="s">
        <v>41</v>
      </c>
      <c r="F12" s="4" t="s">
        <v>20</v>
      </c>
    </row>
    <row r="13" spans="1:6" ht="17.5">
      <c r="A13" t="s">
        <v>42</v>
      </c>
      <c r="F13" s="5" t="s">
        <v>23</v>
      </c>
    </row>
    <row r="14" spans="1:6" ht="17.5">
      <c r="A14" t="s">
        <v>43</v>
      </c>
      <c r="F14" s="4" t="s">
        <v>46</v>
      </c>
    </row>
    <row r="15" spans="1:6" ht="17.5">
      <c r="A15" t="s">
        <v>44</v>
      </c>
      <c r="F15" s="4" t="s">
        <v>22</v>
      </c>
    </row>
    <row r="16" spans="1:6" ht="17.5">
      <c r="A16" t="s">
        <v>45</v>
      </c>
      <c r="F16" s="4" t="s">
        <v>24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5481-7249-4A8F-BBEB-258D38BE5ADA}">
  <dimension ref="A1:K30"/>
  <sheetViews>
    <sheetView workbookViewId="0">
      <selection activeCell="H20" sqref="H20"/>
    </sheetView>
  </sheetViews>
  <sheetFormatPr defaultColWidth="18" defaultRowHeight="14.5"/>
  <cols>
    <col min="1" max="1" width="24" customWidth="1"/>
    <col min="5" max="5" width="24.6328125" customWidth="1"/>
    <col min="9" max="9" width="15.54296875" customWidth="1"/>
    <col min="10" max="10" width="11.6328125" customWidth="1"/>
    <col min="11" max="11" width="8.1796875" customWidth="1"/>
  </cols>
  <sheetData>
    <row r="1" spans="1:11" s="15" customFormat="1" ht="18.5">
      <c r="A1" s="15" t="s">
        <v>63</v>
      </c>
    </row>
    <row r="4" spans="1:11" ht="18" thickBot="1">
      <c r="A4" s="11" t="s">
        <v>47</v>
      </c>
      <c r="B4" s="11" t="s">
        <v>48</v>
      </c>
      <c r="C4" s="11" t="s">
        <v>49</v>
      </c>
      <c r="E4" s="11" t="s">
        <v>47</v>
      </c>
      <c r="F4" s="11" t="s">
        <v>48</v>
      </c>
      <c r="G4" s="11" t="s">
        <v>49</v>
      </c>
      <c r="I4" t="s">
        <v>47</v>
      </c>
      <c r="J4" t="s">
        <v>48</v>
      </c>
      <c r="K4" t="s">
        <v>49</v>
      </c>
    </row>
    <row r="5" spans="1:11" ht="17.5">
      <c r="A5" s="12" t="s">
        <v>29</v>
      </c>
      <c r="B5" s="12" t="s">
        <v>50</v>
      </c>
      <c r="C5" s="12">
        <v>27</v>
      </c>
      <c r="E5" s="12" t="s">
        <v>29</v>
      </c>
      <c r="F5" s="12" t="s">
        <v>50</v>
      </c>
      <c r="G5" s="12">
        <v>27</v>
      </c>
      <c r="I5" t="s">
        <v>29</v>
      </c>
      <c r="J5" t="s">
        <v>50</v>
      </c>
      <c r="K5">
        <v>27</v>
      </c>
    </row>
    <row r="6" spans="1:11" ht="17.5">
      <c r="A6" s="13" t="s">
        <v>51</v>
      </c>
      <c r="B6" s="13" t="s">
        <v>50</v>
      </c>
      <c r="C6" s="13">
        <v>29</v>
      </c>
      <c r="E6" s="13" t="s">
        <v>52</v>
      </c>
      <c r="F6" s="13" t="s">
        <v>50</v>
      </c>
      <c r="G6" s="13">
        <v>29</v>
      </c>
      <c r="I6" t="s">
        <v>33</v>
      </c>
      <c r="J6" t="s">
        <v>50</v>
      </c>
      <c r="K6">
        <v>44</v>
      </c>
    </row>
    <row r="7" spans="1:11" ht="17.5">
      <c r="A7" s="12" t="s">
        <v>33</v>
      </c>
      <c r="B7" s="12" t="s">
        <v>50</v>
      </c>
      <c r="C7" s="12">
        <v>44</v>
      </c>
      <c r="E7" s="12" t="s">
        <v>33</v>
      </c>
      <c r="F7" s="12" t="s">
        <v>50</v>
      </c>
      <c r="G7" s="12">
        <v>44</v>
      </c>
      <c r="I7" t="s">
        <v>37</v>
      </c>
      <c r="J7" t="s">
        <v>50</v>
      </c>
      <c r="K7">
        <v>29</v>
      </c>
    </row>
    <row r="8" spans="1:11" ht="17.5">
      <c r="A8" s="13" t="s">
        <v>53</v>
      </c>
      <c r="B8" s="13" t="s">
        <v>54</v>
      </c>
      <c r="C8" s="13">
        <v>24</v>
      </c>
      <c r="E8" s="13" t="s">
        <v>35</v>
      </c>
      <c r="F8" s="13" t="s">
        <v>54</v>
      </c>
      <c r="G8" s="13">
        <v>24</v>
      </c>
    </row>
    <row r="9" spans="1:11" ht="17.5">
      <c r="A9" s="14" t="s">
        <v>37</v>
      </c>
      <c r="B9" s="14" t="s">
        <v>50</v>
      </c>
      <c r="C9" s="14">
        <v>29</v>
      </c>
      <c r="E9" s="14" t="s">
        <v>37</v>
      </c>
      <c r="F9" s="14" t="s">
        <v>50</v>
      </c>
      <c r="G9" s="14">
        <v>29</v>
      </c>
    </row>
    <row r="10" spans="1:11" ht="17.5">
      <c r="A10" s="13" t="s">
        <v>39</v>
      </c>
      <c r="B10" s="13" t="s">
        <v>50</v>
      </c>
      <c r="C10" s="13">
        <v>27</v>
      </c>
      <c r="E10" s="13" t="s">
        <v>39</v>
      </c>
      <c r="F10" s="13" t="s">
        <v>54</v>
      </c>
      <c r="G10" s="13">
        <v>27</v>
      </c>
    </row>
    <row r="11" spans="1:11" ht="17.5">
      <c r="A11" s="13" t="s">
        <v>55</v>
      </c>
      <c r="B11" s="13" t="s">
        <v>50</v>
      </c>
      <c r="C11" s="13">
        <v>22</v>
      </c>
      <c r="E11" s="13" t="s">
        <v>40</v>
      </c>
      <c r="F11" s="13" t="s">
        <v>50</v>
      </c>
      <c r="G11" s="13">
        <v>22</v>
      </c>
    </row>
    <row r="12" spans="1:11" ht="17.5">
      <c r="A12" s="13" t="s">
        <v>41</v>
      </c>
      <c r="B12" s="13" t="s">
        <v>50</v>
      </c>
      <c r="C12" s="13">
        <v>55</v>
      </c>
      <c r="E12" s="13" t="s">
        <v>41</v>
      </c>
      <c r="F12" s="13" t="s">
        <v>50</v>
      </c>
      <c r="G12" s="13">
        <v>33</v>
      </c>
    </row>
    <row r="13" spans="1:11" ht="17.5">
      <c r="A13" s="13" t="s">
        <v>56</v>
      </c>
      <c r="B13" s="13" t="s">
        <v>54</v>
      </c>
      <c r="C13" s="13">
        <v>44</v>
      </c>
      <c r="E13" s="13" t="s">
        <v>57</v>
      </c>
      <c r="F13" s="13" t="s">
        <v>54</v>
      </c>
      <c r="G13" s="13">
        <v>44</v>
      </c>
    </row>
    <row r="14" spans="1:11" ht="17.5">
      <c r="A14" s="13" t="s">
        <v>58</v>
      </c>
      <c r="B14" s="13" t="s">
        <v>50</v>
      </c>
      <c r="C14" s="13">
        <v>22</v>
      </c>
      <c r="E14" s="13" t="s">
        <v>59</v>
      </c>
      <c r="F14" s="13" t="s">
        <v>50</v>
      </c>
      <c r="G14" s="13">
        <v>22</v>
      </c>
    </row>
    <row r="15" spans="1:11" ht="17.5">
      <c r="A15" s="13" t="s">
        <v>60</v>
      </c>
      <c r="B15" s="13" t="s">
        <v>50</v>
      </c>
      <c r="C15" s="13">
        <v>25</v>
      </c>
      <c r="E15" s="13" t="s">
        <v>60</v>
      </c>
      <c r="F15" s="13" t="s">
        <v>50</v>
      </c>
      <c r="G15" s="13">
        <v>25</v>
      </c>
    </row>
    <row r="16" spans="1:11" ht="17.5">
      <c r="A16" s="13"/>
      <c r="B16" s="13"/>
      <c r="C16" s="13"/>
      <c r="E16" s="13" t="s">
        <v>61</v>
      </c>
      <c r="F16" s="13" t="s">
        <v>50</v>
      </c>
      <c r="G16" s="13">
        <v>40</v>
      </c>
    </row>
    <row r="17" spans="1:7" ht="17.5">
      <c r="E17" s="13"/>
      <c r="F17" s="13"/>
      <c r="G17" s="13"/>
    </row>
    <row r="20" spans="1:7" ht="18" thickBot="1">
      <c r="A20" s="11" t="s">
        <v>47</v>
      </c>
      <c r="B20" s="11" t="s">
        <v>48</v>
      </c>
      <c r="C20" s="11" t="s">
        <v>49</v>
      </c>
      <c r="E20" s="11" t="s">
        <v>47</v>
      </c>
      <c r="F20" s="11" t="s">
        <v>48</v>
      </c>
      <c r="G20" s="11" t="s">
        <v>49</v>
      </c>
    </row>
    <row r="21" spans="1:7" ht="17.5">
      <c r="A21" s="14" t="s">
        <v>9</v>
      </c>
      <c r="B21" s="14" t="s">
        <v>50</v>
      </c>
      <c r="C21" s="14">
        <v>27</v>
      </c>
      <c r="E21" s="14" t="s">
        <v>9</v>
      </c>
      <c r="F21" s="14" t="s">
        <v>50</v>
      </c>
      <c r="G21" s="14">
        <v>27</v>
      </c>
    </row>
    <row r="22" spans="1:7" ht="17.5">
      <c r="A22" s="13" t="s">
        <v>22</v>
      </c>
      <c r="B22" s="13" t="s">
        <v>50</v>
      </c>
      <c r="C22" s="13">
        <v>29</v>
      </c>
      <c r="E22" s="13" t="s">
        <v>11</v>
      </c>
      <c r="F22" s="13" t="s">
        <v>50</v>
      </c>
      <c r="G22" s="13">
        <v>29</v>
      </c>
    </row>
    <row r="23" spans="1:7" ht="17.5">
      <c r="A23" s="14" t="s">
        <v>13</v>
      </c>
      <c r="B23" s="14" t="s">
        <v>50</v>
      </c>
      <c r="C23" s="14">
        <v>44</v>
      </c>
      <c r="E23" s="14" t="s">
        <v>13</v>
      </c>
      <c r="F23" s="14" t="s">
        <v>50</v>
      </c>
      <c r="G23" s="14">
        <v>44</v>
      </c>
    </row>
    <row r="24" spans="1:7" ht="17.5">
      <c r="A24" s="13" t="s">
        <v>24</v>
      </c>
      <c r="B24" s="13" t="s">
        <v>54</v>
      </c>
      <c r="C24" s="13">
        <v>24</v>
      </c>
      <c r="E24" s="13" t="s">
        <v>15</v>
      </c>
      <c r="F24" s="13" t="s">
        <v>54</v>
      </c>
      <c r="G24" s="13">
        <v>24</v>
      </c>
    </row>
    <row r="25" spans="1:7" ht="17.5">
      <c r="A25" s="14" t="s">
        <v>17</v>
      </c>
      <c r="B25" s="14" t="s">
        <v>50</v>
      </c>
      <c r="C25" s="14">
        <v>29</v>
      </c>
      <c r="E25" s="14" t="s">
        <v>17</v>
      </c>
      <c r="F25" s="14" t="s">
        <v>50</v>
      </c>
      <c r="G25" s="14">
        <v>29</v>
      </c>
    </row>
    <row r="26" spans="1:7" ht="17.5">
      <c r="A26" s="13" t="s">
        <v>18</v>
      </c>
      <c r="B26" s="13" t="s">
        <v>50</v>
      </c>
      <c r="C26" s="13">
        <v>27</v>
      </c>
      <c r="E26" s="13" t="s">
        <v>18</v>
      </c>
      <c r="F26" s="13" t="s">
        <v>54</v>
      </c>
      <c r="G26" s="13">
        <v>27</v>
      </c>
    </row>
    <row r="27" spans="1:7" ht="17.5">
      <c r="A27" s="13" t="s">
        <v>22</v>
      </c>
      <c r="B27" s="13" t="s">
        <v>50</v>
      </c>
      <c r="C27" s="13">
        <v>22</v>
      </c>
      <c r="E27" s="13" t="s">
        <v>19</v>
      </c>
      <c r="F27" s="13" t="s">
        <v>50</v>
      </c>
      <c r="G27" s="13">
        <v>22</v>
      </c>
    </row>
    <row r="28" spans="1:7" ht="17.5">
      <c r="A28" s="13" t="s">
        <v>20</v>
      </c>
      <c r="B28" s="13" t="s">
        <v>50</v>
      </c>
      <c r="C28" s="13">
        <v>55</v>
      </c>
      <c r="E28" s="13" t="s">
        <v>20</v>
      </c>
      <c r="F28" s="13" t="s">
        <v>50</v>
      </c>
      <c r="G28" s="13">
        <v>33</v>
      </c>
    </row>
    <row r="29" spans="1:7" ht="17.5">
      <c r="A29" s="13" t="s">
        <v>62</v>
      </c>
      <c r="B29" s="13" t="s">
        <v>54</v>
      </c>
      <c r="C29" s="13">
        <v>44</v>
      </c>
      <c r="E29" s="13" t="s">
        <v>23</v>
      </c>
      <c r="F29" s="13" t="s">
        <v>54</v>
      </c>
      <c r="G29" s="13">
        <v>44</v>
      </c>
    </row>
    <row r="30" spans="1:7" ht="17.5">
      <c r="A30" s="13" t="s">
        <v>21</v>
      </c>
      <c r="B30" s="13" t="s">
        <v>50</v>
      </c>
      <c r="C30" s="13">
        <v>22</v>
      </c>
      <c r="E30" s="13" t="s">
        <v>46</v>
      </c>
      <c r="F30" s="13" t="s">
        <v>50</v>
      </c>
      <c r="G30" s="13">
        <v>22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D3FF-7808-4194-A66D-40AF862F3151}">
  <dimension ref="A1:G17"/>
  <sheetViews>
    <sheetView workbookViewId="0">
      <selection activeCell="I13" sqref="I13"/>
    </sheetView>
  </sheetViews>
  <sheetFormatPr defaultColWidth="10.6328125" defaultRowHeight="14.5"/>
  <cols>
    <col min="1" max="1" width="21.36328125" customWidth="1"/>
    <col min="4" max="4" width="20.453125" bestFit="1" customWidth="1"/>
    <col min="5" max="5" width="15.453125" bestFit="1" customWidth="1"/>
    <col min="6" max="6" width="10.08984375" bestFit="1" customWidth="1"/>
    <col min="7" max="7" width="10.54296875" bestFit="1" customWidth="1"/>
  </cols>
  <sheetData>
    <row r="1" spans="1:7" ht="16.5" thickBot="1">
      <c r="A1" s="58" t="s">
        <v>64</v>
      </c>
      <c r="B1" s="58"/>
      <c r="C1" s="58"/>
      <c r="D1" s="58"/>
    </row>
    <row r="2" spans="1:7">
      <c r="A2" s="57" t="s">
        <v>65</v>
      </c>
      <c r="B2" s="57"/>
      <c r="C2" s="57"/>
      <c r="D2" s="57"/>
    </row>
    <row r="4" spans="1:7" ht="18" thickBot="1">
      <c r="A4" s="16" t="s">
        <v>66</v>
      </c>
      <c r="D4" s="16" t="s">
        <v>67</v>
      </c>
      <c r="E4" s="16" t="s">
        <v>68</v>
      </c>
      <c r="F4" s="16" t="s">
        <v>5</v>
      </c>
      <c r="G4" s="16" t="s">
        <v>69</v>
      </c>
    </row>
    <row r="5" spans="1:7">
      <c r="A5" t="s">
        <v>29</v>
      </c>
      <c r="D5" t="s">
        <v>70</v>
      </c>
      <c r="E5" t="s">
        <v>71</v>
      </c>
      <c r="F5">
        <v>261.95999999999998</v>
      </c>
      <c r="G5">
        <v>41.913600000000002</v>
      </c>
    </row>
    <row r="6" spans="1:7">
      <c r="A6" t="s">
        <v>72</v>
      </c>
      <c r="D6" t="s">
        <v>72</v>
      </c>
      <c r="E6" t="s">
        <v>73</v>
      </c>
      <c r="F6">
        <v>14.62</v>
      </c>
      <c r="G6">
        <v>6.8713999999999995</v>
      </c>
    </row>
    <row r="7" spans="1:7">
      <c r="A7" t="s">
        <v>74</v>
      </c>
      <c r="D7" t="s">
        <v>74</v>
      </c>
      <c r="E7" t="s">
        <v>75</v>
      </c>
      <c r="F7">
        <v>957.57749999999999</v>
      </c>
      <c r="G7">
        <v>-383.03100000000006</v>
      </c>
    </row>
    <row r="8" spans="1:7">
      <c r="A8" t="s">
        <v>76</v>
      </c>
      <c r="D8" t="s">
        <v>76</v>
      </c>
      <c r="E8" t="s">
        <v>73</v>
      </c>
      <c r="F8">
        <v>48.86</v>
      </c>
      <c r="G8">
        <v>14.169399999999996</v>
      </c>
    </row>
    <row r="9" spans="1:7">
      <c r="A9" t="s">
        <v>77</v>
      </c>
      <c r="D9" t="s">
        <v>78</v>
      </c>
      <c r="E9" t="s">
        <v>79</v>
      </c>
      <c r="F9">
        <v>15.552000000000003</v>
      </c>
      <c r="G9">
        <v>5.4432</v>
      </c>
    </row>
    <row r="10" spans="1:7">
      <c r="A10" t="s">
        <v>80</v>
      </c>
      <c r="D10" t="s">
        <v>81</v>
      </c>
      <c r="E10" t="s">
        <v>82</v>
      </c>
      <c r="F10">
        <v>407.97600000000006</v>
      </c>
      <c r="G10">
        <v>132.59219999999993</v>
      </c>
    </row>
    <row r="11" spans="1:7">
      <c r="A11" t="s">
        <v>83</v>
      </c>
      <c r="D11" t="s">
        <v>83</v>
      </c>
      <c r="E11" t="s">
        <v>84</v>
      </c>
      <c r="F11">
        <v>68.809999999999988</v>
      </c>
      <c r="G11">
        <v>-123.858</v>
      </c>
    </row>
    <row r="12" spans="1:7">
      <c r="A12" t="s">
        <v>85</v>
      </c>
      <c r="D12" t="s">
        <v>86</v>
      </c>
      <c r="E12" t="s">
        <v>87</v>
      </c>
      <c r="F12">
        <v>665.88</v>
      </c>
      <c r="G12">
        <v>13.317599999999999</v>
      </c>
    </row>
    <row r="13" spans="1:7">
      <c r="A13" t="s">
        <v>88</v>
      </c>
      <c r="D13" t="s">
        <v>88</v>
      </c>
      <c r="E13" t="s">
        <v>89</v>
      </c>
      <c r="F13">
        <v>55.5</v>
      </c>
      <c r="G13">
        <v>9.9899999999999949</v>
      </c>
    </row>
    <row r="14" spans="1:7">
      <c r="A14" t="s">
        <v>90</v>
      </c>
      <c r="D14" t="s">
        <v>90</v>
      </c>
      <c r="E14" t="s">
        <v>91</v>
      </c>
      <c r="F14">
        <v>8.56</v>
      </c>
      <c r="G14">
        <v>2.4823999999999993</v>
      </c>
    </row>
    <row r="15" spans="1:7">
      <c r="A15" t="s">
        <v>44</v>
      </c>
      <c r="D15" t="s">
        <v>92</v>
      </c>
      <c r="E15" t="s">
        <v>93</v>
      </c>
      <c r="F15">
        <v>19.459999999999997</v>
      </c>
      <c r="G15">
        <v>5.0595999999999997</v>
      </c>
    </row>
    <row r="16" spans="1:7">
      <c r="A16" t="s">
        <v>94</v>
      </c>
      <c r="D16" t="s">
        <v>95</v>
      </c>
    </row>
    <row r="17" spans="1:4">
      <c r="A17" t="s">
        <v>96</v>
      </c>
      <c r="D17" t="s">
        <v>97</v>
      </c>
    </row>
  </sheetData>
  <mergeCells count="2">
    <mergeCell ref="A1:D1"/>
    <mergeCell ref="A2:D2"/>
  </mergeCell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385C-FA1A-4D6C-836D-C879A8D7DCEE}">
  <dimension ref="B2:H492"/>
  <sheetViews>
    <sheetView workbookViewId="0">
      <selection activeCell="L13" sqref="L13"/>
    </sheetView>
  </sheetViews>
  <sheetFormatPr defaultColWidth="8.90625" defaultRowHeight="16.5"/>
  <cols>
    <col min="1" max="1" width="8.90625" style="17"/>
    <col min="2" max="2" width="18.08984375" style="17" customWidth="1"/>
    <col min="3" max="3" width="11.90625" style="17" customWidth="1"/>
    <col min="4" max="4" width="8.90625" style="17"/>
    <col min="5" max="5" width="9.54296875" style="17" customWidth="1"/>
    <col min="6" max="6" width="18.08984375" style="17" customWidth="1"/>
    <col min="7" max="7" width="14.08984375" style="17" customWidth="1"/>
    <col min="8" max="8" width="9.90625" style="17" customWidth="1"/>
    <col min="9" max="9" width="16.81640625" style="17" customWidth="1"/>
    <col min="10" max="16384" width="8.90625" style="17"/>
  </cols>
  <sheetData>
    <row r="2" spans="2:8">
      <c r="B2" s="59" t="s">
        <v>98</v>
      </c>
      <c r="C2" s="60"/>
      <c r="E2" s="59" t="s">
        <v>99</v>
      </c>
      <c r="F2" s="60"/>
      <c r="G2" s="60"/>
      <c r="H2" s="60"/>
    </row>
    <row r="3" spans="2:8">
      <c r="B3" s="60"/>
      <c r="C3" s="60"/>
      <c r="E3" s="60"/>
      <c r="F3" s="60"/>
      <c r="G3" s="60"/>
      <c r="H3" s="60"/>
    </row>
    <row r="5" spans="2:8">
      <c r="B5" s="18" t="s">
        <v>100</v>
      </c>
      <c r="C5" s="19" t="s">
        <v>8</v>
      </c>
      <c r="E5" s="20" t="s">
        <v>6</v>
      </c>
      <c r="F5" s="20" t="s">
        <v>101</v>
      </c>
      <c r="G5" s="20" t="s">
        <v>102</v>
      </c>
      <c r="H5" s="20" t="s">
        <v>5</v>
      </c>
    </row>
    <row r="6" spans="2:8">
      <c r="B6" s="21" t="s">
        <v>29</v>
      </c>
      <c r="C6" s="22" t="s">
        <v>14</v>
      </c>
      <c r="E6" s="23">
        <v>41517</v>
      </c>
      <c r="F6" s="21" t="s">
        <v>29</v>
      </c>
      <c r="G6" s="21" t="s">
        <v>103</v>
      </c>
      <c r="H6" s="24">
        <v>155.1</v>
      </c>
    </row>
    <row r="7" spans="2:8">
      <c r="B7" s="21" t="s">
        <v>104</v>
      </c>
      <c r="C7" s="22" t="s">
        <v>10</v>
      </c>
      <c r="E7" s="23">
        <v>41970</v>
      </c>
      <c r="F7" s="21" t="s">
        <v>105</v>
      </c>
      <c r="G7" s="21" t="s">
        <v>106</v>
      </c>
      <c r="H7" s="24">
        <v>39.299999999999997</v>
      </c>
    </row>
    <row r="8" spans="2:8">
      <c r="B8" s="21" t="s">
        <v>107</v>
      </c>
      <c r="C8" s="22" t="s">
        <v>16</v>
      </c>
      <c r="E8" s="23">
        <v>41585</v>
      </c>
      <c r="F8" s="21" t="s">
        <v>108</v>
      </c>
      <c r="G8" s="21" t="s">
        <v>109</v>
      </c>
      <c r="H8" s="24">
        <v>74.25</v>
      </c>
    </row>
    <row r="9" spans="2:8">
      <c r="B9" s="21" t="s">
        <v>110</v>
      </c>
      <c r="C9" s="22" t="s">
        <v>111</v>
      </c>
      <c r="E9" s="23">
        <v>41792</v>
      </c>
      <c r="F9" s="21" t="s">
        <v>112</v>
      </c>
      <c r="G9" s="21" t="s">
        <v>113</v>
      </c>
      <c r="H9" s="24">
        <v>100.98</v>
      </c>
    </row>
    <row r="10" spans="2:8">
      <c r="B10" s="21" t="s">
        <v>114</v>
      </c>
      <c r="C10" s="22" t="s">
        <v>111</v>
      </c>
      <c r="E10" s="23">
        <v>41487</v>
      </c>
      <c r="F10" s="21" t="s">
        <v>115</v>
      </c>
      <c r="G10" s="21" t="s">
        <v>116</v>
      </c>
      <c r="H10" s="24">
        <v>44.98</v>
      </c>
    </row>
    <row r="11" spans="2:8">
      <c r="B11" s="21" t="s">
        <v>117</v>
      </c>
      <c r="C11" s="22" t="s">
        <v>111</v>
      </c>
      <c r="E11" s="23">
        <v>41957</v>
      </c>
      <c r="F11" s="21" t="s">
        <v>118</v>
      </c>
      <c r="G11" s="21" t="s">
        <v>119</v>
      </c>
      <c r="H11" s="24">
        <v>29.25</v>
      </c>
    </row>
    <row r="12" spans="2:8">
      <c r="B12" s="21" t="s">
        <v>120</v>
      </c>
      <c r="C12" s="22" t="s">
        <v>111</v>
      </c>
      <c r="E12" s="23">
        <v>41591</v>
      </c>
      <c r="F12" s="21" t="s">
        <v>121</v>
      </c>
      <c r="G12" s="21" t="s">
        <v>103</v>
      </c>
      <c r="H12" s="24">
        <v>68.39</v>
      </c>
    </row>
    <row r="13" spans="2:8">
      <c r="B13" s="21" t="s">
        <v>112</v>
      </c>
      <c r="C13" s="22" t="s">
        <v>16</v>
      </c>
      <c r="E13" s="23">
        <v>41947</v>
      </c>
      <c r="F13" s="21" t="s">
        <v>122</v>
      </c>
      <c r="G13" s="21" t="s">
        <v>123</v>
      </c>
      <c r="H13" s="24">
        <v>45.44</v>
      </c>
    </row>
    <row r="14" spans="2:8">
      <c r="B14" s="21" t="s">
        <v>124</v>
      </c>
      <c r="C14" s="22" t="s">
        <v>16</v>
      </c>
      <c r="E14" s="23">
        <v>41969</v>
      </c>
      <c r="F14" s="21" t="s">
        <v>125</v>
      </c>
      <c r="G14" s="21" t="s">
        <v>126</v>
      </c>
      <c r="H14" s="24">
        <v>22.38</v>
      </c>
    </row>
    <row r="15" spans="2:8">
      <c r="B15" s="21" t="s">
        <v>127</v>
      </c>
      <c r="C15" s="22" t="s">
        <v>111</v>
      </c>
      <c r="E15" s="23">
        <v>41828</v>
      </c>
      <c r="F15" s="21" t="s">
        <v>107</v>
      </c>
      <c r="G15" s="21" t="s">
        <v>106</v>
      </c>
      <c r="H15" s="24">
        <v>49.25</v>
      </c>
    </row>
    <row r="16" spans="2:8">
      <c r="B16" s="21" t="s">
        <v>128</v>
      </c>
      <c r="C16" s="22" t="s">
        <v>10</v>
      </c>
      <c r="E16" s="23">
        <v>41979</v>
      </c>
      <c r="F16" s="21" t="s">
        <v>129</v>
      </c>
      <c r="G16" s="21" t="s">
        <v>130</v>
      </c>
      <c r="H16" s="24">
        <v>67.319999999999993</v>
      </c>
    </row>
    <row r="17" spans="2:8">
      <c r="B17" s="21" t="s">
        <v>131</v>
      </c>
      <c r="C17" s="22" t="s">
        <v>10</v>
      </c>
      <c r="E17" s="23">
        <v>41622</v>
      </c>
      <c r="F17" s="21" t="s">
        <v>132</v>
      </c>
      <c r="G17" s="21" t="s">
        <v>106</v>
      </c>
      <c r="H17" s="24">
        <v>23.5</v>
      </c>
    </row>
    <row r="18" spans="2:8">
      <c r="B18" s="21" t="s">
        <v>133</v>
      </c>
      <c r="C18" s="22" t="s">
        <v>10</v>
      </c>
      <c r="E18" s="23">
        <v>41609</v>
      </c>
      <c r="F18" s="21" t="s">
        <v>134</v>
      </c>
      <c r="G18" s="21" t="s">
        <v>135</v>
      </c>
      <c r="H18" s="24">
        <v>90.42</v>
      </c>
    </row>
    <row r="19" spans="2:8">
      <c r="B19" s="21" t="s">
        <v>136</v>
      </c>
      <c r="C19" s="22" t="s">
        <v>10</v>
      </c>
      <c r="E19" s="23">
        <v>41954</v>
      </c>
      <c r="F19" s="21" t="s">
        <v>137</v>
      </c>
      <c r="G19" s="21" t="s">
        <v>113</v>
      </c>
      <c r="H19" s="24">
        <v>66.3</v>
      </c>
    </row>
    <row r="20" spans="2:8">
      <c r="B20" s="21" t="s">
        <v>138</v>
      </c>
      <c r="C20" s="22" t="s">
        <v>10</v>
      </c>
      <c r="E20" s="23">
        <v>41711</v>
      </c>
      <c r="F20" s="21" t="s">
        <v>139</v>
      </c>
      <c r="G20" s="21" t="s">
        <v>140</v>
      </c>
      <c r="H20" s="24">
        <v>19.95</v>
      </c>
    </row>
    <row r="21" spans="2:8">
      <c r="B21" s="21" t="s">
        <v>141</v>
      </c>
      <c r="C21" s="22" t="s">
        <v>10</v>
      </c>
      <c r="E21" s="23">
        <v>41306</v>
      </c>
      <c r="F21" s="21" t="s">
        <v>142</v>
      </c>
      <c r="G21" s="21" t="s">
        <v>143</v>
      </c>
      <c r="H21" s="24">
        <v>25</v>
      </c>
    </row>
    <row r="22" spans="2:8">
      <c r="B22" s="21" t="s">
        <v>144</v>
      </c>
      <c r="C22" s="22" t="s">
        <v>10</v>
      </c>
      <c r="E22" s="23">
        <v>41284</v>
      </c>
      <c r="F22" s="21" t="s">
        <v>145</v>
      </c>
      <c r="G22" s="21" t="s">
        <v>116</v>
      </c>
      <c r="H22" s="24">
        <v>79.95</v>
      </c>
    </row>
    <row r="23" spans="2:8">
      <c r="B23" s="21" t="s">
        <v>146</v>
      </c>
      <c r="C23" s="22" t="s">
        <v>111</v>
      </c>
      <c r="E23" s="23">
        <v>41958</v>
      </c>
      <c r="F23" s="21" t="s">
        <v>146</v>
      </c>
      <c r="G23" s="21" t="s">
        <v>106</v>
      </c>
      <c r="H23" s="24">
        <v>306</v>
      </c>
    </row>
    <row r="24" spans="2:8">
      <c r="B24" s="21" t="s">
        <v>147</v>
      </c>
      <c r="C24" s="22" t="s">
        <v>10</v>
      </c>
      <c r="E24" s="23">
        <v>41620</v>
      </c>
      <c r="F24" s="21" t="s">
        <v>148</v>
      </c>
      <c r="G24" s="21" t="s">
        <v>149</v>
      </c>
      <c r="H24" s="24">
        <v>19.95</v>
      </c>
    </row>
    <row r="25" spans="2:8">
      <c r="B25" s="21" t="s">
        <v>150</v>
      </c>
      <c r="C25" s="22" t="s">
        <v>14</v>
      </c>
      <c r="E25" s="23">
        <v>41965</v>
      </c>
      <c r="F25" s="21" t="s">
        <v>117</v>
      </c>
      <c r="G25" s="21" t="s">
        <v>106</v>
      </c>
      <c r="H25" s="24">
        <v>67.13</v>
      </c>
    </row>
    <row r="26" spans="2:8">
      <c r="B26" s="21" t="s">
        <v>151</v>
      </c>
      <c r="C26" s="22" t="s">
        <v>10</v>
      </c>
      <c r="E26" s="23">
        <v>41830</v>
      </c>
      <c r="F26" s="21" t="s">
        <v>120</v>
      </c>
      <c r="G26" s="21" t="s">
        <v>152</v>
      </c>
      <c r="H26" s="24">
        <v>102</v>
      </c>
    </row>
    <row r="27" spans="2:8">
      <c r="B27" s="21" t="s">
        <v>153</v>
      </c>
      <c r="C27" s="22" t="s">
        <v>111</v>
      </c>
      <c r="E27" s="23">
        <v>41635</v>
      </c>
      <c r="F27" s="21" t="s">
        <v>154</v>
      </c>
      <c r="G27" s="21" t="s">
        <v>155</v>
      </c>
      <c r="H27" s="24">
        <v>66.64</v>
      </c>
    </row>
    <row r="28" spans="2:8">
      <c r="B28" s="21" t="s">
        <v>137</v>
      </c>
      <c r="C28" s="22" t="s">
        <v>111</v>
      </c>
      <c r="E28" s="23">
        <v>41545</v>
      </c>
      <c r="F28" s="21" t="s">
        <v>110</v>
      </c>
      <c r="G28" s="21" t="s">
        <v>156</v>
      </c>
      <c r="H28" s="24">
        <v>27.09</v>
      </c>
    </row>
    <row r="29" spans="2:8">
      <c r="B29" s="21" t="s">
        <v>157</v>
      </c>
      <c r="C29" s="22" t="s">
        <v>10</v>
      </c>
      <c r="E29" s="23">
        <v>41579</v>
      </c>
      <c r="F29" s="21" t="s">
        <v>158</v>
      </c>
      <c r="G29" s="21" t="s">
        <v>159</v>
      </c>
      <c r="H29" s="24">
        <v>44.52</v>
      </c>
    </row>
    <row r="30" spans="2:8">
      <c r="B30" s="21" t="s">
        <v>160</v>
      </c>
      <c r="C30" s="22" t="s">
        <v>111</v>
      </c>
      <c r="E30" s="23">
        <v>41578</v>
      </c>
      <c r="F30" s="21" t="s">
        <v>161</v>
      </c>
      <c r="G30" s="21" t="s">
        <v>162</v>
      </c>
      <c r="H30" s="24">
        <v>491.4</v>
      </c>
    </row>
    <row r="31" spans="2:8">
      <c r="B31" s="21" t="s">
        <v>163</v>
      </c>
      <c r="C31" s="22" t="s">
        <v>10</v>
      </c>
      <c r="E31" s="23">
        <v>41806</v>
      </c>
      <c r="F31" s="21" t="s">
        <v>164</v>
      </c>
      <c r="G31" s="21" t="s">
        <v>165</v>
      </c>
      <c r="H31" s="24">
        <v>47</v>
      </c>
    </row>
    <row r="32" spans="2:8">
      <c r="B32" s="21" t="s">
        <v>166</v>
      </c>
      <c r="C32" s="22" t="s">
        <v>10</v>
      </c>
      <c r="E32" s="23">
        <v>41599</v>
      </c>
      <c r="F32" s="21" t="s">
        <v>167</v>
      </c>
      <c r="G32" s="21" t="s">
        <v>168</v>
      </c>
      <c r="H32" s="24">
        <v>73.13</v>
      </c>
    </row>
    <row r="33" spans="2:8">
      <c r="B33" s="21" t="s">
        <v>129</v>
      </c>
      <c r="C33" s="22" t="s">
        <v>16</v>
      </c>
      <c r="E33" s="23">
        <v>41966</v>
      </c>
      <c r="F33" s="21" t="s">
        <v>169</v>
      </c>
      <c r="G33" s="21" t="s">
        <v>170</v>
      </c>
      <c r="H33" s="24">
        <v>58.05</v>
      </c>
    </row>
    <row r="34" spans="2:8">
      <c r="B34" s="21" t="s">
        <v>171</v>
      </c>
      <c r="C34" s="22" t="s">
        <v>10</v>
      </c>
      <c r="E34" s="23">
        <v>41299</v>
      </c>
      <c r="F34" s="21" t="s">
        <v>153</v>
      </c>
      <c r="G34" s="21" t="s">
        <v>156</v>
      </c>
      <c r="H34" s="24">
        <v>50</v>
      </c>
    </row>
    <row r="35" spans="2:8">
      <c r="B35" s="21" t="s">
        <v>172</v>
      </c>
      <c r="C35" s="22" t="s">
        <v>10</v>
      </c>
      <c r="E35" s="23">
        <v>41389</v>
      </c>
      <c r="F35" s="21" t="s">
        <v>173</v>
      </c>
      <c r="G35" s="21" t="s">
        <v>174</v>
      </c>
      <c r="H35" s="24">
        <v>25</v>
      </c>
    </row>
    <row r="36" spans="2:8">
      <c r="B36" s="21" t="s">
        <v>142</v>
      </c>
      <c r="C36" s="22" t="s">
        <v>111</v>
      </c>
      <c r="E36" s="23">
        <v>41952</v>
      </c>
      <c r="F36" s="21" t="s">
        <v>175</v>
      </c>
      <c r="G36" s="21" t="s">
        <v>109</v>
      </c>
      <c r="H36" s="24">
        <v>20.37</v>
      </c>
    </row>
    <row r="37" spans="2:8">
      <c r="B37" s="21" t="s">
        <v>176</v>
      </c>
      <c r="C37" s="22" t="s">
        <v>111</v>
      </c>
      <c r="E37" s="23">
        <v>41600</v>
      </c>
      <c r="F37" s="21" t="s">
        <v>177</v>
      </c>
      <c r="G37" s="21" t="s">
        <v>178</v>
      </c>
      <c r="H37" s="24">
        <v>59.85</v>
      </c>
    </row>
    <row r="38" spans="2:8">
      <c r="B38" s="21" t="s">
        <v>179</v>
      </c>
      <c r="C38" s="22" t="s">
        <v>14</v>
      </c>
      <c r="E38" s="23">
        <v>41613</v>
      </c>
      <c r="F38" s="21" t="s">
        <v>127</v>
      </c>
      <c r="G38" s="21" t="s">
        <v>180</v>
      </c>
      <c r="H38" s="24">
        <v>438.75</v>
      </c>
    </row>
    <row r="39" spans="2:8">
      <c r="B39" s="21" t="s">
        <v>145</v>
      </c>
      <c r="C39" s="22" t="s">
        <v>111</v>
      </c>
      <c r="E39" s="23">
        <v>41959</v>
      </c>
      <c r="F39" s="21" t="s">
        <v>176</v>
      </c>
      <c r="G39" s="21" t="s">
        <v>113</v>
      </c>
      <c r="H39" s="24">
        <v>39.5</v>
      </c>
    </row>
    <row r="40" spans="2:8">
      <c r="B40" s="21" t="s">
        <v>181</v>
      </c>
      <c r="C40" s="22" t="s">
        <v>14</v>
      </c>
      <c r="E40" s="23">
        <v>41724</v>
      </c>
      <c r="F40" s="21" t="s">
        <v>160</v>
      </c>
      <c r="G40" s="21" t="s">
        <v>156</v>
      </c>
      <c r="H40" s="24">
        <v>59.85</v>
      </c>
    </row>
    <row r="41" spans="2:8">
      <c r="B41" s="21" t="s">
        <v>182</v>
      </c>
      <c r="C41" s="22" t="s">
        <v>14</v>
      </c>
      <c r="E41" s="23">
        <v>41637</v>
      </c>
      <c r="F41" s="21" t="s">
        <v>183</v>
      </c>
      <c r="G41" s="21" t="s">
        <v>184</v>
      </c>
      <c r="H41" s="24">
        <v>81.680000000000007</v>
      </c>
    </row>
    <row r="42" spans="2:8">
      <c r="B42" s="21" t="s">
        <v>185</v>
      </c>
      <c r="C42" s="22" t="s">
        <v>14</v>
      </c>
      <c r="E42" s="23">
        <v>41607</v>
      </c>
      <c r="F42" s="21" t="s">
        <v>114</v>
      </c>
      <c r="G42" s="21" t="s">
        <v>186</v>
      </c>
      <c r="H42" s="24">
        <v>75</v>
      </c>
    </row>
    <row r="43" spans="2:8">
      <c r="B43" s="21" t="s">
        <v>187</v>
      </c>
      <c r="C43" s="22" t="s">
        <v>14</v>
      </c>
      <c r="E43" s="23">
        <v>41442</v>
      </c>
      <c r="F43" s="21" t="s">
        <v>150</v>
      </c>
      <c r="G43" s="21" t="s">
        <v>188</v>
      </c>
      <c r="H43" s="24">
        <v>84</v>
      </c>
    </row>
    <row r="44" spans="2:8">
      <c r="B44" s="21" t="s">
        <v>177</v>
      </c>
      <c r="C44" s="22" t="s">
        <v>111</v>
      </c>
      <c r="E44" s="23">
        <v>41961</v>
      </c>
      <c r="F44" s="21" t="s">
        <v>189</v>
      </c>
      <c r="G44" s="21" t="s">
        <v>162</v>
      </c>
      <c r="H44" s="24">
        <v>59.25</v>
      </c>
    </row>
    <row r="45" spans="2:8">
      <c r="B45" s="21" t="s">
        <v>132</v>
      </c>
      <c r="C45" s="22" t="s">
        <v>16</v>
      </c>
      <c r="E45" s="23">
        <v>41963</v>
      </c>
      <c r="F45" s="21" t="s">
        <v>190</v>
      </c>
      <c r="G45" s="21" t="s">
        <v>106</v>
      </c>
      <c r="H45" s="24">
        <v>22.61</v>
      </c>
    </row>
    <row r="46" spans="2:8">
      <c r="B46" s="21" t="s">
        <v>191</v>
      </c>
      <c r="C46" s="22" t="s">
        <v>10</v>
      </c>
      <c r="E46" s="23">
        <v>41589</v>
      </c>
      <c r="F46" s="21" t="s">
        <v>187</v>
      </c>
      <c r="G46" s="21" t="s">
        <v>174</v>
      </c>
      <c r="H46" s="24">
        <v>59.25</v>
      </c>
    </row>
    <row r="47" spans="2:8">
      <c r="B47" s="21" t="s">
        <v>192</v>
      </c>
      <c r="C47" s="22" t="s">
        <v>10</v>
      </c>
      <c r="E47" s="23">
        <v>41631</v>
      </c>
      <c r="F47" s="21" t="s">
        <v>179</v>
      </c>
      <c r="G47" s="21" t="s">
        <v>193</v>
      </c>
      <c r="H47" s="24">
        <v>41.58</v>
      </c>
    </row>
    <row r="48" spans="2:8">
      <c r="B48" s="21" t="s">
        <v>194</v>
      </c>
      <c r="C48" s="22" t="s">
        <v>10</v>
      </c>
      <c r="E48" s="23">
        <v>41613</v>
      </c>
      <c r="F48" s="21" t="s">
        <v>181</v>
      </c>
      <c r="G48" s="21" t="s">
        <v>195</v>
      </c>
      <c r="H48" s="24">
        <v>39.9</v>
      </c>
    </row>
    <row r="49" spans="2:8">
      <c r="B49" s="21" t="s">
        <v>158</v>
      </c>
      <c r="C49" s="22" t="s">
        <v>111</v>
      </c>
      <c r="E49" s="23">
        <v>41614</v>
      </c>
      <c r="F49" s="21" t="s">
        <v>196</v>
      </c>
      <c r="G49" s="21" t="s">
        <v>113</v>
      </c>
      <c r="H49" s="24">
        <v>19.45</v>
      </c>
    </row>
    <row r="50" spans="2:8">
      <c r="B50" s="21" t="s">
        <v>196</v>
      </c>
      <c r="C50" s="22" t="s">
        <v>14</v>
      </c>
      <c r="E50" s="23">
        <v>41302</v>
      </c>
      <c r="F50" s="21" t="s">
        <v>197</v>
      </c>
      <c r="G50" s="21" t="s">
        <v>159</v>
      </c>
      <c r="H50" s="24">
        <v>39.9</v>
      </c>
    </row>
    <row r="51" spans="2:8">
      <c r="B51" s="21" t="s">
        <v>105</v>
      </c>
      <c r="C51" s="22" t="s">
        <v>16</v>
      </c>
      <c r="E51" s="23">
        <v>41609</v>
      </c>
      <c r="F51" s="21" t="s">
        <v>198</v>
      </c>
      <c r="G51" s="21" t="s">
        <v>123</v>
      </c>
      <c r="H51" s="24">
        <v>88.2</v>
      </c>
    </row>
    <row r="52" spans="2:8">
      <c r="B52" s="21" t="s">
        <v>118</v>
      </c>
      <c r="C52" s="22" t="s">
        <v>16</v>
      </c>
      <c r="E52" s="23">
        <v>41299</v>
      </c>
      <c r="F52" s="21" t="s">
        <v>182</v>
      </c>
      <c r="G52" s="21" t="s">
        <v>180</v>
      </c>
      <c r="H52" s="24">
        <v>22.49</v>
      </c>
    </row>
    <row r="53" spans="2:8">
      <c r="B53" s="21" t="s">
        <v>199</v>
      </c>
      <c r="C53" s="22" t="s">
        <v>10</v>
      </c>
      <c r="E53" s="23">
        <v>41747</v>
      </c>
      <c r="F53" s="21" t="s">
        <v>185</v>
      </c>
      <c r="G53" s="21" t="s">
        <v>113</v>
      </c>
      <c r="H53" s="24">
        <v>49.25</v>
      </c>
    </row>
    <row r="54" spans="2:8">
      <c r="B54" s="21" t="s">
        <v>183</v>
      </c>
      <c r="C54" s="22" t="s">
        <v>111</v>
      </c>
      <c r="E54" s="23">
        <v>41968</v>
      </c>
      <c r="F54" s="21" t="s">
        <v>200</v>
      </c>
      <c r="G54" s="21" t="s">
        <v>113</v>
      </c>
      <c r="H54" s="24">
        <v>80.44</v>
      </c>
    </row>
    <row r="55" spans="2:8">
      <c r="B55" s="21" t="s">
        <v>115</v>
      </c>
      <c r="C55" s="22" t="s">
        <v>16</v>
      </c>
      <c r="E55" s="23">
        <v>41336</v>
      </c>
      <c r="F55" s="21" t="s">
        <v>136</v>
      </c>
      <c r="G55" s="21" t="s">
        <v>156</v>
      </c>
      <c r="H55" s="24">
        <v>50</v>
      </c>
    </row>
    <row r="56" spans="2:8">
      <c r="B56" s="21" t="s">
        <v>201</v>
      </c>
      <c r="C56" s="22" t="s">
        <v>10</v>
      </c>
      <c r="E56" s="23">
        <v>41611</v>
      </c>
      <c r="F56" s="21" t="s">
        <v>163</v>
      </c>
      <c r="G56" s="21" t="s">
        <v>106</v>
      </c>
      <c r="H56" s="24">
        <v>45.9</v>
      </c>
    </row>
    <row r="57" spans="2:8">
      <c r="B57" s="21" t="s">
        <v>139</v>
      </c>
      <c r="C57" s="22" t="s">
        <v>111</v>
      </c>
      <c r="E57" s="23">
        <v>41580</v>
      </c>
      <c r="F57" s="21" t="s">
        <v>199</v>
      </c>
      <c r="G57" s="21" t="s">
        <v>140</v>
      </c>
      <c r="H57" s="24">
        <v>22.95</v>
      </c>
    </row>
    <row r="58" spans="2:8">
      <c r="B58" s="21" t="s">
        <v>197</v>
      </c>
      <c r="C58" s="22" t="s">
        <v>14</v>
      </c>
      <c r="E58" s="23">
        <v>41952</v>
      </c>
      <c r="F58" s="21" t="s">
        <v>172</v>
      </c>
      <c r="G58" s="21" t="s">
        <v>123</v>
      </c>
      <c r="H58" s="24">
        <v>26.95</v>
      </c>
    </row>
    <row r="59" spans="2:8">
      <c r="B59" s="21" t="s">
        <v>190</v>
      </c>
      <c r="C59" s="22" t="s">
        <v>14</v>
      </c>
      <c r="E59" s="23">
        <v>41594</v>
      </c>
      <c r="F59" s="21" t="s">
        <v>133</v>
      </c>
      <c r="G59" s="21" t="s">
        <v>202</v>
      </c>
      <c r="H59" s="24">
        <v>275</v>
      </c>
    </row>
    <row r="60" spans="2:8">
      <c r="B60" s="21" t="s">
        <v>173</v>
      </c>
      <c r="C60" s="22" t="s">
        <v>111</v>
      </c>
      <c r="E60" s="23">
        <v>41587</v>
      </c>
      <c r="F60" s="21" t="s">
        <v>141</v>
      </c>
      <c r="G60" s="21" t="s">
        <v>174</v>
      </c>
      <c r="H60" s="24">
        <v>68</v>
      </c>
    </row>
    <row r="61" spans="2:8">
      <c r="B61" s="21" t="s">
        <v>134</v>
      </c>
      <c r="C61" s="22" t="s">
        <v>111</v>
      </c>
      <c r="E61" s="23">
        <v>41587</v>
      </c>
      <c r="F61" s="21" t="s">
        <v>191</v>
      </c>
      <c r="G61" s="21" t="s">
        <v>203</v>
      </c>
      <c r="H61" s="24">
        <v>159.9</v>
      </c>
    </row>
    <row r="62" spans="2:8">
      <c r="B62" s="21" t="s">
        <v>125</v>
      </c>
      <c r="C62" s="22" t="s">
        <v>16</v>
      </c>
      <c r="E62" s="23">
        <v>41613</v>
      </c>
      <c r="F62" s="21" t="s">
        <v>104</v>
      </c>
      <c r="G62" s="21" t="s">
        <v>204</v>
      </c>
      <c r="H62" s="24">
        <v>59.85</v>
      </c>
    </row>
    <row r="63" spans="2:8">
      <c r="B63" s="21" t="s">
        <v>175</v>
      </c>
      <c r="C63" s="22" t="s">
        <v>111</v>
      </c>
      <c r="E63" s="23">
        <v>41601</v>
      </c>
      <c r="F63" s="21" t="s">
        <v>138</v>
      </c>
      <c r="G63" s="21" t="s">
        <v>113</v>
      </c>
      <c r="H63" s="24">
        <v>50</v>
      </c>
    </row>
    <row r="64" spans="2:8">
      <c r="B64" s="21" t="s">
        <v>122</v>
      </c>
      <c r="C64" s="22" t="s">
        <v>16</v>
      </c>
      <c r="E64" s="23">
        <v>41989</v>
      </c>
      <c r="F64" s="21" t="s">
        <v>131</v>
      </c>
      <c r="G64" s="21" t="s">
        <v>116</v>
      </c>
      <c r="H64" s="24">
        <v>495</v>
      </c>
    </row>
    <row r="65" spans="2:8">
      <c r="B65" s="21" t="s">
        <v>200</v>
      </c>
      <c r="C65" s="22" t="s">
        <v>14</v>
      </c>
      <c r="E65" s="23">
        <v>41997</v>
      </c>
      <c r="F65" s="21" t="s">
        <v>166</v>
      </c>
      <c r="G65" s="21" t="s">
        <v>203</v>
      </c>
      <c r="H65" s="24">
        <v>68</v>
      </c>
    </row>
    <row r="66" spans="2:8">
      <c r="B66" s="21" t="s">
        <v>161</v>
      </c>
      <c r="C66" s="22" t="s">
        <v>111</v>
      </c>
      <c r="E66" s="23">
        <v>41371</v>
      </c>
      <c r="F66" s="21" t="s">
        <v>205</v>
      </c>
      <c r="G66" s="21" t="s">
        <v>184</v>
      </c>
      <c r="H66" s="24">
        <v>367.5</v>
      </c>
    </row>
    <row r="67" spans="2:8">
      <c r="B67" s="21" t="s">
        <v>164</v>
      </c>
      <c r="C67" s="22" t="s">
        <v>111</v>
      </c>
      <c r="E67" s="23">
        <v>41612</v>
      </c>
      <c r="F67" s="21" t="s">
        <v>206</v>
      </c>
      <c r="G67" s="21" t="s">
        <v>135</v>
      </c>
      <c r="H67" s="24">
        <v>29.1</v>
      </c>
    </row>
    <row r="68" spans="2:8">
      <c r="B68" s="21" t="s">
        <v>167</v>
      </c>
      <c r="C68" s="22" t="s">
        <v>111</v>
      </c>
      <c r="E68" s="23">
        <v>41850</v>
      </c>
      <c r="F68" s="21" t="s">
        <v>194</v>
      </c>
      <c r="G68" s="21" t="s">
        <v>207</v>
      </c>
      <c r="H68" s="24">
        <v>44.98</v>
      </c>
    </row>
    <row r="69" spans="2:8">
      <c r="B69" s="21" t="s">
        <v>154</v>
      </c>
      <c r="C69" s="22" t="s">
        <v>111</v>
      </c>
      <c r="E69" s="23">
        <v>41633</v>
      </c>
      <c r="F69" s="21" t="s">
        <v>201</v>
      </c>
      <c r="G69" s="21" t="s">
        <v>202</v>
      </c>
      <c r="H69" s="24">
        <v>22.38</v>
      </c>
    </row>
    <row r="70" spans="2:8">
      <c r="B70" s="21" t="s">
        <v>148</v>
      </c>
      <c r="C70" s="22" t="s">
        <v>111</v>
      </c>
      <c r="E70" s="23">
        <v>41972</v>
      </c>
      <c r="F70" s="21" t="s">
        <v>171</v>
      </c>
      <c r="G70" s="21" t="s">
        <v>204</v>
      </c>
      <c r="H70" s="24">
        <v>49.5</v>
      </c>
    </row>
    <row r="71" spans="2:8">
      <c r="B71" s="21" t="s">
        <v>169</v>
      </c>
      <c r="C71" s="22" t="s">
        <v>111</v>
      </c>
      <c r="E71" s="23">
        <v>41933</v>
      </c>
      <c r="F71" s="21" t="s">
        <v>208</v>
      </c>
      <c r="G71" s="21" t="s">
        <v>209</v>
      </c>
      <c r="H71" s="24">
        <v>56.43</v>
      </c>
    </row>
    <row r="72" spans="2:8">
      <c r="B72" s="21" t="s">
        <v>205</v>
      </c>
      <c r="C72" s="22" t="s">
        <v>10</v>
      </c>
      <c r="E72" s="23">
        <v>41527</v>
      </c>
      <c r="F72" s="21" t="s">
        <v>144</v>
      </c>
      <c r="G72" s="21" t="s">
        <v>149</v>
      </c>
      <c r="H72" s="24">
        <v>42</v>
      </c>
    </row>
    <row r="73" spans="2:8">
      <c r="B73" s="21" t="s">
        <v>189</v>
      </c>
      <c r="C73" s="22" t="s">
        <v>14</v>
      </c>
      <c r="E73" s="23">
        <v>41974</v>
      </c>
      <c r="F73" s="21" t="s">
        <v>147</v>
      </c>
      <c r="G73" s="21" t="s">
        <v>106</v>
      </c>
      <c r="H73" s="24">
        <v>39.9</v>
      </c>
    </row>
    <row r="74" spans="2:8">
      <c r="B74" s="21" t="s">
        <v>208</v>
      </c>
      <c r="C74" s="22" t="s">
        <v>10</v>
      </c>
      <c r="E74" s="23">
        <v>41960</v>
      </c>
      <c r="F74" s="21" t="s">
        <v>192</v>
      </c>
      <c r="G74" s="21" t="s">
        <v>135</v>
      </c>
      <c r="H74" s="24">
        <v>22.95</v>
      </c>
    </row>
    <row r="75" spans="2:8">
      <c r="B75" s="21" t="s">
        <v>206</v>
      </c>
      <c r="C75" s="22" t="s">
        <v>10</v>
      </c>
      <c r="E75" s="23">
        <v>41975</v>
      </c>
      <c r="F75" s="21" t="s">
        <v>128</v>
      </c>
      <c r="G75" s="21" t="s">
        <v>126</v>
      </c>
      <c r="H75" s="24">
        <v>91.8</v>
      </c>
    </row>
    <row r="76" spans="2:8">
      <c r="B76" s="21" t="s">
        <v>121</v>
      </c>
      <c r="C76" s="22" t="s">
        <v>16</v>
      </c>
      <c r="E76" s="23">
        <v>41973</v>
      </c>
      <c r="F76" s="21" t="s">
        <v>157</v>
      </c>
      <c r="G76" s="21" t="s">
        <v>143</v>
      </c>
      <c r="H76" s="24">
        <v>68.16</v>
      </c>
    </row>
    <row r="77" spans="2:8">
      <c r="B77" s="21" t="s">
        <v>108</v>
      </c>
      <c r="C77" s="22" t="s">
        <v>16</v>
      </c>
      <c r="E77" s="23">
        <v>41605</v>
      </c>
      <c r="F77" s="21" t="s">
        <v>151</v>
      </c>
      <c r="G77" s="21" t="s">
        <v>140</v>
      </c>
      <c r="H77" s="24">
        <v>68</v>
      </c>
    </row>
    <row r="78" spans="2:8">
      <c r="E78" s="23">
        <v>41597</v>
      </c>
      <c r="F78" s="21" t="s">
        <v>210</v>
      </c>
      <c r="G78" s="21" t="s">
        <v>159</v>
      </c>
      <c r="H78" s="24">
        <v>24.5</v>
      </c>
    </row>
    <row r="79" spans="2:8">
      <c r="E79" s="23">
        <v>41594</v>
      </c>
      <c r="F79" s="21" t="s">
        <v>211</v>
      </c>
      <c r="G79" s="21" t="s">
        <v>113</v>
      </c>
      <c r="H79" s="24">
        <v>54.18</v>
      </c>
    </row>
    <row r="80" spans="2:8">
      <c r="E80" s="23">
        <v>41990</v>
      </c>
      <c r="F80" s="21" t="s">
        <v>212</v>
      </c>
      <c r="G80" s="21" t="s">
        <v>130</v>
      </c>
      <c r="H80" s="24">
        <v>70.5</v>
      </c>
    </row>
    <row r="81" spans="5:8">
      <c r="E81" s="23">
        <v>41956</v>
      </c>
      <c r="F81" s="21" t="s">
        <v>213</v>
      </c>
      <c r="G81" s="21" t="s">
        <v>165</v>
      </c>
      <c r="H81" s="24">
        <v>22.95</v>
      </c>
    </row>
    <row r="82" spans="5:8">
      <c r="E82" s="23">
        <v>41986</v>
      </c>
      <c r="F82" s="21" t="s">
        <v>214</v>
      </c>
      <c r="G82" s="21" t="s">
        <v>126</v>
      </c>
      <c r="H82" s="24">
        <v>45.9</v>
      </c>
    </row>
    <row r="83" spans="5:8">
      <c r="E83" s="23">
        <v>41564</v>
      </c>
      <c r="F83" s="21" t="s">
        <v>215</v>
      </c>
      <c r="G83" s="21" t="s">
        <v>135</v>
      </c>
      <c r="H83" s="24">
        <v>203.7</v>
      </c>
    </row>
    <row r="84" spans="5:8">
      <c r="E84" s="23">
        <v>41608</v>
      </c>
      <c r="F84" s="21" t="s">
        <v>216</v>
      </c>
      <c r="G84" s="21" t="s">
        <v>119</v>
      </c>
      <c r="H84" s="24">
        <v>68.849999999999994</v>
      </c>
    </row>
    <row r="85" spans="5:8">
      <c r="E85" s="23">
        <v>41636</v>
      </c>
      <c r="F85" s="21" t="s">
        <v>217</v>
      </c>
      <c r="G85" s="21" t="s">
        <v>123</v>
      </c>
      <c r="H85" s="24">
        <v>27.5</v>
      </c>
    </row>
    <row r="86" spans="5:8">
      <c r="E86" s="23">
        <v>41997</v>
      </c>
      <c r="F86" s="21" t="s">
        <v>218</v>
      </c>
      <c r="G86" s="21" t="s">
        <v>159</v>
      </c>
      <c r="H86" s="24">
        <v>573.75</v>
      </c>
    </row>
    <row r="87" spans="5:8">
      <c r="E87" s="23">
        <v>41630</v>
      </c>
      <c r="F87" s="21" t="s">
        <v>219</v>
      </c>
      <c r="G87" s="21" t="s">
        <v>204</v>
      </c>
      <c r="H87" s="24">
        <v>399</v>
      </c>
    </row>
    <row r="88" spans="5:8">
      <c r="E88" s="23">
        <v>41625</v>
      </c>
      <c r="F88" s="21" t="s">
        <v>220</v>
      </c>
      <c r="G88" s="21" t="s">
        <v>135</v>
      </c>
      <c r="H88" s="24">
        <v>38.700000000000003</v>
      </c>
    </row>
    <row r="89" spans="5:8">
      <c r="E89" s="23">
        <v>41614</v>
      </c>
      <c r="F89" s="21" t="s">
        <v>221</v>
      </c>
      <c r="G89" s="21" t="s">
        <v>222</v>
      </c>
      <c r="H89" s="24">
        <v>102</v>
      </c>
    </row>
    <row r="90" spans="5:8">
      <c r="E90" s="23">
        <v>41598</v>
      </c>
      <c r="F90" s="21" t="s">
        <v>223</v>
      </c>
      <c r="G90" s="21" t="s">
        <v>113</v>
      </c>
      <c r="H90" s="24">
        <v>33.659999999999997</v>
      </c>
    </row>
    <row r="91" spans="5:8">
      <c r="E91" s="23">
        <v>41295</v>
      </c>
      <c r="F91" s="21" t="s">
        <v>224</v>
      </c>
      <c r="G91" s="21" t="s">
        <v>225</v>
      </c>
      <c r="H91" s="24">
        <v>100.47</v>
      </c>
    </row>
    <row r="92" spans="5:8">
      <c r="E92" s="23">
        <v>41545</v>
      </c>
      <c r="F92" s="21" t="s">
        <v>226</v>
      </c>
      <c r="G92" s="21" t="s">
        <v>135</v>
      </c>
      <c r="H92" s="24">
        <v>59.25</v>
      </c>
    </row>
    <row r="93" spans="5:8">
      <c r="E93" s="23">
        <v>41989</v>
      </c>
      <c r="F93" s="21" t="s">
        <v>227</v>
      </c>
      <c r="G93" s="21" t="s">
        <v>225</v>
      </c>
      <c r="H93" s="24">
        <v>24.38</v>
      </c>
    </row>
    <row r="94" spans="5:8">
      <c r="E94" s="23">
        <v>41944</v>
      </c>
      <c r="F94" s="21" t="s">
        <v>228</v>
      </c>
      <c r="G94" s="21" t="s">
        <v>174</v>
      </c>
      <c r="H94" s="24">
        <v>66.78</v>
      </c>
    </row>
    <row r="95" spans="5:8">
      <c r="E95" s="23">
        <v>41544</v>
      </c>
      <c r="F95" s="21" t="s">
        <v>229</v>
      </c>
      <c r="G95" s="21" t="s">
        <v>113</v>
      </c>
      <c r="H95" s="24">
        <v>34</v>
      </c>
    </row>
    <row r="96" spans="5:8">
      <c r="E96" s="23">
        <v>41339</v>
      </c>
      <c r="F96" s="21" t="s">
        <v>230</v>
      </c>
      <c r="G96" s="21" t="s">
        <v>119</v>
      </c>
      <c r="H96" s="24">
        <v>568.84</v>
      </c>
    </row>
    <row r="97" spans="5:8">
      <c r="E97" s="23">
        <v>41985</v>
      </c>
      <c r="F97" s="21" t="s">
        <v>231</v>
      </c>
      <c r="G97" s="21" t="s">
        <v>222</v>
      </c>
      <c r="H97" s="24">
        <v>45.59</v>
      </c>
    </row>
    <row r="98" spans="5:8">
      <c r="E98" s="23">
        <v>41489</v>
      </c>
      <c r="F98" s="21" t="s">
        <v>232</v>
      </c>
      <c r="G98" s="21" t="s">
        <v>126</v>
      </c>
      <c r="H98" s="24">
        <v>25</v>
      </c>
    </row>
    <row r="99" spans="5:8">
      <c r="E99" s="23">
        <v>41596</v>
      </c>
      <c r="F99" s="21" t="s">
        <v>233</v>
      </c>
      <c r="G99" s="21" t="s">
        <v>222</v>
      </c>
      <c r="H99" s="24">
        <v>67.47</v>
      </c>
    </row>
    <row r="100" spans="5:8">
      <c r="E100" s="23">
        <v>41616</v>
      </c>
      <c r="F100" s="21" t="s">
        <v>234</v>
      </c>
      <c r="G100" s="21" t="s">
        <v>186</v>
      </c>
      <c r="H100" s="24">
        <v>44.98</v>
      </c>
    </row>
    <row r="101" spans="5:8">
      <c r="E101" s="23">
        <v>41956</v>
      </c>
      <c r="F101" s="21" t="s">
        <v>235</v>
      </c>
      <c r="G101" s="21" t="s">
        <v>195</v>
      </c>
      <c r="H101" s="24">
        <v>48.5</v>
      </c>
    </row>
    <row r="102" spans="5:8">
      <c r="E102" s="23">
        <v>41832</v>
      </c>
      <c r="F102" s="21" t="s">
        <v>236</v>
      </c>
      <c r="G102" s="21" t="s">
        <v>143</v>
      </c>
      <c r="H102" s="24">
        <v>33.659999999999997</v>
      </c>
    </row>
    <row r="103" spans="5:8">
      <c r="E103" s="23">
        <v>41972</v>
      </c>
      <c r="F103" s="21" t="s">
        <v>237</v>
      </c>
      <c r="G103" s="21" t="s">
        <v>156</v>
      </c>
      <c r="H103" s="24">
        <v>68.849999999999994</v>
      </c>
    </row>
    <row r="104" spans="5:8">
      <c r="E104" s="23">
        <v>41971</v>
      </c>
      <c r="F104" s="21" t="s">
        <v>238</v>
      </c>
      <c r="G104" s="21" t="s">
        <v>106</v>
      </c>
      <c r="H104" s="24">
        <v>66.78</v>
      </c>
    </row>
    <row r="105" spans="5:8">
      <c r="E105" s="23">
        <v>41617</v>
      </c>
      <c r="F105" s="21" t="s">
        <v>239</v>
      </c>
      <c r="G105" s="21" t="s">
        <v>123</v>
      </c>
      <c r="H105" s="24">
        <v>67.819999999999993</v>
      </c>
    </row>
    <row r="106" spans="5:8">
      <c r="E106" s="23">
        <v>41838</v>
      </c>
      <c r="F106" s="21" t="s">
        <v>240</v>
      </c>
      <c r="G106" s="21" t="s">
        <v>116</v>
      </c>
      <c r="H106" s="24">
        <v>75</v>
      </c>
    </row>
    <row r="107" spans="5:8">
      <c r="E107" s="23">
        <v>41945</v>
      </c>
      <c r="F107" s="21" t="s">
        <v>241</v>
      </c>
      <c r="G107" s="21" t="s">
        <v>156</v>
      </c>
      <c r="H107" s="24">
        <v>39.5</v>
      </c>
    </row>
    <row r="108" spans="5:8">
      <c r="E108" s="23">
        <v>41961</v>
      </c>
      <c r="F108" s="21" t="s">
        <v>242</v>
      </c>
      <c r="G108" s="21" t="s">
        <v>156</v>
      </c>
      <c r="H108" s="24">
        <v>19.75</v>
      </c>
    </row>
    <row r="109" spans="5:8">
      <c r="E109" s="23">
        <v>41627</v>
      </c>
      <c r="F109" s="21" t="s">
        <v>243</v>
      </c>
      <c r="G109" s="21" t="s">
        <v>207</v>
      </c>
      <c r="H109" s="24">
        <v>63</v>
      </c>
    </row>
    <row r="110" spans="5:8">
      <c r="E110" s="23">
        <v>41617</v>
      </c>
      <c r="F110" s="21" t="s">
        <v>244</v>
      </c>
      <c r="G110" s="21" t="s">
        <v>126</v>
      </c>
      <c r="H110" s="24">
        <v>48.75</v>
      </c>
    </row>
    <row r="111" spans="5:8">
      <c r="E111" s="23">
        <v>41977</v>
      </c>
      <c r="F111" s="21" t="s">
        <v>245</v>
      </c>
      <c r="G111" s="21" t="s">
        <v>246</v>
      </c>
      <c r="H111" s="24">
        <v>70.5</v>
      </c>
    </row>
    <row r="112" spans="5:8">
      <c r="E112" s="23">
        <v>41982</v>
      </c>
      <c r="F112" s="21" t="s">
        <v>247</v>
      </c>
      <c r="G112" s="21" t="s">
        <v>106</v>
      </c>
      <c r="H112" s="24">
        <v>81.260000000000005</v>
      </c>
    </row>
    <row r="113" spans="5:8">
      <c r="E113" s="23">
        <v>41606</v>
      </c>
      <c r="F113" s="21" t="s">
        <v>248</v>
      </c>
      <c r="G113" s="21" t="s">
        <v>249</v>
      </c>
      <c r="H113" s="24">
        <v>68.849999999999994</v>
      </c>
    </row>
    <row r="114" spans="5:8">
      <c r="E114" s="23">
        <v>41591</v>
      </c>
      <c r="F114" s="21" t="s">
        <v>250</v>
      </c>
      <c r="G114" s="21" t="s">
        <v>159</v>
      </c>
      <c r="H114" s="24">
        <v>60</v>
      </c>
    </row>
    <row r="115" spans="5:8">
      <c r="E115" s="23">
        <v>41977</v>
      </c>
      <c r="F115" s="21" t="s">
        <v>251</v>
      </c>
      <c r="G115" s="21" t="s">
        <v>113</v>
      </c>
      <c r="H115" s="24">
        <v>159.9</v>
      </c>
    </row>
    <row r="116" spans="5:8">
      <c r="E116" s="23">
        <v>41799</v>
      </c>
      <c r="F116" s="21" t="s">
        <v>252</v>
      </c>
      <c r="G116" s="21" t="s">
        <v>253</v>
      </c>
      <c r="H116" s="24">
        <v>66.64</v>
      </c>
    </row>
    <row r="117" spans="5:8">
      <c r="E117" s="23">
        <v>41468</v>
      </c>
      <c r="F117" s="21" t="s">
        <v>254</v>
      </c>
      <c r="G117" s="21" t="s">
        <v>222</v>
      </c>
      <c r="H117" s="24">
        <v>22.95</v>
      </c>
    </row>
    <row r="118" spans="5:8">
      <c r="E118" s="23">
        <v>41584</v>
      </c>
      <c r="F118" s="21" t="s">
        <v>255</v>
      </c>
      <c r="G118" s="21" t="s">
        <v>116</v>
      </c>
      <c r="H118" s="24">
        <v>39.9</v>
      </c>
    </row>
    <row r="119" spans="5:8">
      <c r="E119" s="23">
        <v>41962</v>
      </c>
      <c r="F119" s="21" t="s">
        <v>256</v>
      </c>
      <c r="G119" s="21" t="s">
        <v>123</v>
      </c>
      <c r="H119" s="24">
        <v>82.5</v>
      </c>
    </row>
    <row r="120" spans="5:8">
      <c r="E120" s="23">
        <v>41992</v>
      </c>
      <c r="F120" s="21" t="s">
        <v>257</v>
      </c>
      <c r="G120" s="21" t="s">
        <v>246</v>
      </c>
      <c r="H120" s="24">
        <v>446.5</v>
      </c>
    </row>
    <row r="121" spans="5:8">
      <c r="E121" s="23">
        <v>41964</v>
      </c>
      <c r="F121" s="21" t="s">
        <v>258</v>
      </c>
      <c r="G121" s="21" t="s">
        <v>156</v>
      </c>
      <c r="H121" s="24">
        <v>24.75</v>
      </c>
    </row>
    <row r="122" spans="5:8">
      <c r="E122" s="23">
        <v>42004</v>
      </c>
      <c r="F122" s="21" t="s">
        <v>259</v>
      </c>
      <c r="G122" s="21" t="s">
        <v>113</v>
      </c>
      <c r="H122" s="24">
        <v>67.819999999999993</v>
      </c>
    </row>
    <row r="123" spans="5:8">
      <c r="E123" s="23">
        <v>41588</v>
      </c>
      <c r="F123" s="21" t="s">
        <v>260</v>
      </c>
      <c r="G123" s="21" t="s">
        <v>140</v>
      </c>
      <c r="H123" s="24">
        <v>50</v>
      </c>
    </row>
    <row r="124" spans="5:8">
      <c r="E124" s="23">
        <v>41603</v>
      </c>
      <c r="F124" s="21" t="s">
        <v>261</v>
      </c>
      <c r="G124" s="21" t="s">
        <v>109</v>
      </c>
      <c r="H124" s="24">
        <v>82.5</v>
      </c>
    </row>
    <row r="125" spans="5:8">
      <c r="E125" s="23">
        <v>41990</v>
      </c>
      <c r="F125" s="21" t="s">
        <v>262</v>
      </c>
      <c r="G125" s="21" t="s">
        <v>162</v>
      </c>
      <c r="H125" s="24">
        <v>376</v>
      </c>
    </row>
    <row r="126" spans="5:8">
      <c r="E126" s="23">
        <v>41589</v>
      </c>
      <c r="F126" s="21" t="s">
        <v>263</v>
      </c>
      <c r="G126" s="21" t="s">
        <v>113</v>
      </c>
      <c r="H126" s="24">
        <v>63</v>
      </c>
    </row>
    <row r="127" spans="5:8">
      <c r="E127" s="23">
        <v>41961</v>
      </c>
      <c r="F127" s="21" t="s">
        <v>264</v>
      </c>
      <c r="G127" s="21" t="s">
        <v>174</v>
      </c>
      <c r="H127" s="24">
        <v>45.9</v>
      </c>
    </row>
    <row r="128" spans="5:8">
      <c r="E128" s="23">
        <v>41986</v>
      </c>
      <c r="F128" s="21" t="s">
        <v>265</v>
      </c>
      <c r="G128" s="21" t="s">
        <v>266</v>
      </c>
      <c r="H128" s="24">
        <v>160.65</v>
      </c>
    </row>
    <row r="129" spans="5:8">
      <c r="E129" s="23">
        <v>41618</v>
      </c>
      <c r="F129" s="21" t="s">
        <v>267</v>
      </c>
      <c r="G129" s="21" t="s">
        <v>140</v>
      </c>
      <c r="H129" s="24">
        <v>66.78</v>
      </c>
    </row>
    <row r="130" spans="5:8">
      <c r="E130" s="23">
        <v>41612</v>
      </c>
      <c r="F130" s="21" t="s">
        <v>268</v>
      </c>
      <c r="G130" s="21" t="s">
        <v>113</v>
      </c>
      <c r="H130" s="24">
        <v>19.95</v>
      </c>
    </row>
    <row r="131" spans="5:8">
      <c r="E131" s="23">
        <v>41583</v>
      </c>
      <c r="F131" s="21" t="s">
        <v>269</v>
      </c>
      <c r="G131" s="21" t="s">
        <v>119</v>
      </c>
      <c r="H131" s="24">
        <v>45.9</v>
      </c>
    </row>
    <row r="132" spans="5:8">
      <c r="E132" s="23">
        <v>41988</v>
      </c>
      <c r="F132" s="21" t="s">
        <v>270</v>
      </c>
      <c r="G132" s="21" t="s">
        <v>113</v>
      </c>
      <c r="H132" s="24">
        <v>49.25</v>
      </c>
    </row>
    <row r="133" spans="5:8">
      <c r="E133" s="23">
        <v>42000</v>
      </c>
      <c r="F133" s="21" t="s">
        <v>271</v>
      </c>
      <c r="G133" s="21" t="s">
        <v>106</v>
      </c>
      <c r="H133" s="24">
        <v>45.9</v>
      </c>
    </row>
    <row r="134" spans="5:8">
      <c r="E134" s="23">
        <v>41511</v>
      </c>
      <c r="F134" s="21" t="s">
        <v>272</v>
      </c>
      <c r="G134" s="21" t="s">
        <v>113</v>
      </c>
      <c r="H134" s="24">
        <v>68.849999999999994</v>
      </c>
    </row>
    <row r="135" spans="5:8">
      <c r="E135" s="23">
        <v>41995</v>
      </c>
      <c r="F135" s="21" t="s">
        <v>273</v>
      </c>
      <c r="G135" s="21" t="s">
        <v>225</v>
      </c>
      <c r="H135" s="24">
        <v>45.9</v>
      </c>
    </row>
    <row r="136" spans="5:8">
      <c r="E136" s="23">
        <v>41987</v>
      </c>
      <c r="F136" s="21" t="s">
        <v>274</v>
      </c>
      <c r="G136" s="21" t="s">
        <v>140</v>
      </c>
      <c r="H136" s="24">
        <v>29.7</v>
      </c>
    </row>
    <row r="137" spans="5:8">
      <c r="E137" s="23">
        <v>41992</v>
      </c>
      <c r="F137" s="21" t="s">
        <v>275</v>
      </c>
      <c r="G137" s="21" t="s">
        <v>195</v>
      </c>
      <c r="H137" s="24">
        <v>274.95</v>
      </c>
    </row>
    <row r="138" spans="5:8">
      <c r="E138" s="23">
        <v>41531</v>
      </c>
      <c r="F138" s="21" t="s">
        <v>276</v>
      </c>
      <c r="G138" s="21" t="s">
        <v>149</v>
      </c>
      <c r="H138" s="24">
        <v>20.48</v>
      </c>
    </row>
    <row r="139" spans="5:8">
      <c r="E139" s="23">
        <v>41995</v>
      </c>
      <c r="F139" s="21" t="s">
        <v>277</v>
      </c>
      <c r="G139" s="21" t="s">
        <v>113</v>
      </c>
      <c r="H139" s="24">
        <v>98.94</v>
      </c>
    </row>
    <row r="140" spans="5:8">
      <c r="E140" s="23">
        <v>41592</v>
      </c>
      <c r="F140" s="21" t="s">
        <v>278</v>
      </c>
      <c r="G140" s="21" t="s">
        <v>116</v>
      </c>
      <c r="H140" s="24">
        <v>70.5</v>
      </c>
    </row>
    <row r="141" spans="5:8">
      <c r="E141" s="23">
        <v>41308</v>
      </c>
      <c r="F141" s="21" t="s">
        <v>279</v>
      </c>
      <c r="G141" s="21" t="s">
        <v>143</v>
      </c>
      <c r="H141" s="24">
        <v>24.25</v>
      </c>
    </row>
    <row r="142" spans="5:8">
      <c r="E142" s="23">
        <v>41612</v>
      </c>
      <c r="F142" s="21" t="s">
        <v>280</v>
      </c>
      <c r="G142" s="21" t="s">
        <v>156</v>
      </c>
      <c r="H142" s="24">
        <v>58.5</v>
      </c>
    </row>
    <row r="143" spans="5:8">
      <c r="E143" s="23">
        <v>41635</v>
      </c>
      <c r="F143" s="21" t="s">
        <v>281</v>
      </c>
      <c r="G143" s="21" t="s">
        <v>130</v>
      </c>
      <c r="H143" s="24">
        <v>22.95</v>
      </c>
    </row>
    <row r="144" spans="5:8">
      <c r="E144" s="23">
        <v>41605</v>
      </c>
      <c r="F144" s="21" t="s">
        <v>282</v>
      </c>
      <c r="G144" s="21" t="s">
        <v>162</v>
      </c>
      <c r="H144" s="24">
        <v>38.9</v>
      </c>
    </row>
    <row r="145" spans="5:8">
      <c r="E145" s="23">
        <v>41467</v>
      </c>
      <c r="F145" s="21" t="s">
        <v>283</v>
      </c>
      <c r="G145" s="21" t="s">
        <v>143</v>
      </c>
      <c r="H145" s="24">
        <v>45.9</v>
      </c>
    </row>
    <row r="146" spans="5:8">
      <c r="E146" s="23">
        <v>41953</v>
      </c>
      <c r="F146" s="21" t="s">
        <v>284</v>
      </c>
      <c r="G146" s="21" t="s">
        <v>184</v>
      </c>
      <c r="H146" s="24">
        <v>265.2</v>
      </c>
    </row>
    <row r="147" spans="5:8">
      <c r="E147" s="23">
        <v>41303</v>
      </c>
      <c r="F147" s="21" t="s">
        <v>285</v>
      </c>
      <c r="G147" s="21" t="s">
        <v>116</v>
      </c>
      <c r="H147" s="24">
        <v>24.63</v>
      </c>
    </row>
    <row r="148" spans="5:8">
      <c r="E148" s="23">
        <v>41631</v>
      </c>
      <c r="F148" s="21" t="s">
        <v>286</v>
      </c>
      <c r="G148" s="21" t="s">
        <v>113</v>
      </c>
      <c r="H148" s="24">
        <v>19.45</v>
      </c>
    </row>
    <row r="149" spans="5:8">
      <c r="E149" s="23">
        <v>41854</v>
      </c>
      <c r="F149" s="21" t="s">
        <v>287</v>
      </c>
      <c r="G149" s="21" t="s">
        <v>140</v>
      </c>
      <c r="H149" s="24">
        <v>99.96</v>
      </c>
    </row>
    <row r="150" spans="5:8">
      <c r="E150" s="23">
        <v>41944</v>
      </c>
      <c r="F150" s="21" t="s">
        <v>288</v>
      </c>
      <c r="G150" s="21" t="s">
        <v>149</v>
      </c>
      <c r="H150" s="24">
        <v>19.95</v>
      </c>
    </row>
    <row r="151" spans="5:8">
      <c r="E151" s="23">
        <v>41994</v>
      </c>
      <c r="F151" s="21" t="s">
        <v>289</v>
      </c>
      <c r="G151" s="21" t="s">
        <v>156</v>
      </c>
      <c r="H151" s="24">
        <v>45.21</v>
      </c>
    </row>
    <row r="152" spans="5:8">
      <c r="E152" s="23">
        <v>41603</v>
      </c>
      <c r="F152" s="21" t="s">
        <v>290</v>
      </c>
      <c r="G152" s="21" t="s">
        <v>291</v>
      </c>
      <c r="H152" s="24">
        <v>136</v>
      </c>
    </row>
    <row r="153" spans="5:8">
      <c r="E153" s="23">
        <v>42003</v>
      </c>
      <c r="F153" s="21" t="s">
        <v>292</v>
      </c>
      <c r="G153" s="21" t="s">
        <v>156</v>
      </c>
      <c r="H153" s="24">
        <v>23.27</v>
      </c>
    </row>
    <row r="154" spans="5:8">
      <c r="E154" s="23">
        <v>41995</v>
      </c>
      <c r="F154" s="21" t="s">
        <v>293</v>
      </c>
      <c r="G154" s="21" t="s">
        <v>159</v>
      </c>
      <c r="H154" s="24">
        <v>45.44</v>
      </c>
    </row>
    <row r="155" spans="5:8">
      <c r="E155" s="23">
        <v>41638</v>
      </c>
      <c r="F155" s="21" t="s">
        <v>294</v>
      </c>
      <c r="G155" s="21" t="s">
        <v>184</v>
      </c>
      <c r="H155" s="24">
        <v>44.52</v>
      </c>
    </row>
    <row r="156" spans="5:8">
      <c r="E156" s="23">
        <v>41975</v>
      </c>
      <c r="F156" s="21" t="s">
        <v>295</v>
      </c>
      <c r="G156" s="21" t="s">
        <v>165</v>
      </c>
      <c r="H156" s="24">
        <v>39.9</v>
      </c>
    </row>
    <row r="157" spans="5:8">
      <c r="E157" s="23">
        <v>41560</v>
      </c>
      <c r="F157" s="21" t="s">
        <v>296</v>
      </c>
      <c r="G157" s="21" t="s">
        <v>186</v>
      </c>
      <c r="H157" s="24">
        <v>19.95</v>
      </c>
    </row>
    <row r="158" spans="5:8">
      <c r="E158" s="23">
        <v>41987</v>
      </c>
      <c r="F158" s="21" t="s">
        <v>297</v>
      </c>
      <c r="G158" s="21" t="s">
        <v>168</v>
      </c>
      <c r="H158" s="24">
        <v>170</v>
      </c>
    </row>
    <row r="159" spans="5:8">
      <c r="E159" s="23">
        <v>41635</v>
      </c>
      <c r="F159" s="21" t="s">
        <v>298</v>
      </c>
      <c r="G159" s="21" t="s">
        <v>178</v>
      </c>
      <c r="H159" s="24">
        <v>68</v>
      </c>
    </row>
    <row r="160" spans="5:8">
      <c r="E160" s="23">
        <v>41637</v>
      </c>
      <c r="F160" s="21" t="s">
        <v>299</v>
      </c>
      <c r="G160" s="21" t="s">
        <v>300</v>
      </c>
      <c r="H160" s="24">
        <v>22.49</v>
      </c>
    </row>
    <row r="161" spans="5:8">
      <c r="E161" s="23">
        <v>42004</v>
      </c>
      <c r="F161" s="21" t="s">
        <v>301</v>
      </c>
      <c r="G161" s="21" t="s">
        <v>106</v>
      </c>
      <c r="H161" s="24">
        <v>91.8</v>
      </c>
    </row>
    <row r="162" spans="5:8">
      <c r="E162" s="23">
        <v>41616</v>
      </c>
      <c r="F162" s="21" t="s">
        <v>302</v>
      </c>
      <c r="G162" s="21" t="s">
        <v>106</v>
      </c>
      <c r="H162" s="24">
        <v>59.85</v>
      </c>
    </row>
    <row r="163" spans="5:8">
      <c r="E163" s="23">
        <v>41601</v>
      </c>
      <c r="F163" s="21" t="s">
        <v>303</v>
      </c>
      <c r="G163" s="21" t="s">
        <v>140</v>
      </c>
      <c r="H163" s="24">
        <v>102</v>
      </c>
    </row>
    <row r="164" spans="5:8">
      <c r="E164" s="23">
        <v>41616</v>
      </c>
      <c r="F164" s="21" t="s">
        <v>304</v>
      </c>
      <c r="G164" s="21" t="s">
        <v>113</v>
      </c>
      <c r="H164" s="24">
        <v>350</v>
      </c>
    </row>
    <row r="165" spans="5:8">
      <c r="E165" s="23">
        <v>41324</v>
      </c>
      <c r="F165" s="21" t="s">
        <v>305</v>
      </c>
      <c r="G165" s="21" t="s">
        <v>159</v>
      </c>
      <c r="H165" s="24">
        <v>319.8</v>
      </c>
    </row>
    <row r="166" spans="5:8">
      <c r="E166" s="23">
        <v>41621</v>
      </c>
      <c r="F166" s="21" t="s">
        <v>306</v>
      </c>
      <c r="G166" s="21" t="s">
        <v>186</v>
      </c>
      <c r="H166" s="24">
        <v>24.75</v>
      </c>
    </row>
    <row r="167" spans="5:8">
      <c r="E167" s="23">
        <v>41303</v>
      </c>
      <c r="F167" s="21" t="s">
        <v>307</v>
      </c>
      <c r="G167" s="21" t="s">
        <v>103</v>
      </c>
      <c r="H167" s="24">
        <v>50</v>
      </c>
    </row>
    <row r="168" spans="5:8">
      <c r="E168" s="23">
        <v>41984</v>
      </c>
      <c r="F168" s="21" t="s">
        <v>308</v>
      </c>
      <c r="G168" s="21" t="s">
        <v>165</v>
      </c>
      <c r="H168" s="24">
        <v>159.9</v>
      </c>
    </row>
    <row r="169" spans="5:8">
      <c r="E169" s="23">
        <v>41613</v>
      </c>
      <c r="F169" s="21" t="s">
        <v>309</v>
      </c>
      <c r="G169" s="21" t="s">
        <v>165</v>
      </c>
      <c r="H169" s="24">
        <v>321.3</v>
      </c>
    </row>
    <row r="170" spans="5:8">
      <c r="E170" s="23">
        <v>41358</v>
      </c>
      <c r="F170" s="21" t="s">
        <v>310</v>
      </c>
      <c r="G170" s="21" t="s">
        <v>168</v>
      </c>
      <c r="H170" s="24">
        <v>100.47</v>
      </c>
    </row>
    <row r="171" spans="5:8">
      <c r="E171" s="23">
        <v>41964</v>
      </c>
      <c r="F171" s="21" t="s">
        <v>311</v>
      </c>
      <c r="G171" s="21" t="s">
        <v>204</v>
      </c>
      <c r="H171" s="24">
        <v>91.8</v>
      </c>
    </row>
    <row r="172" spans="5:8">
      <c r="E172" s="23">
        <v>41618</v>
      </c>
      <c r="F172" s="21" t="s">
        <v>312</v>
      </c>
      <c r="G172" s="21" t="s">
        <v>106</v>
      </c>
      <c r="H172" s="24">
        <v>55</v>
      </c>
    </row>
    <row r="173" spans="5:8">
      <c r="E173" s="23">
        <v>41766</v>
      </c>
      <c r="F173" s="21" t="s">
        <v>313</v>
      </c>
      <c r="G173" s="21" t="s">
        <v>123</v>
      </c>
      <c r="H173" s="24">
        <v>39.5</v>
      </c>
    </row>
    <row r="174" spans="5:8">
      <c r="E174" s="23">
        <v>41608</v>
      </c>
      <c r="F174" s="21" t="s">
        <v>314</v>
      </c>
      <c r="G174" s="21" t="s">
        <v>106</v>
      </c>
      <c r="H174" s="24">
        <v>59.85</v>
      </c>
    </row>
    <row r="175" spans="5:8">
      <c r="E175" s="23">
        <v>41957</v>
      </c>
      <c r="F175" s="21" t="s">
        <v>315</v>
      </c>
      <c r="G175" s="21" t="s">
        <v>140</v>
      </c>
      <c r="H175" s="24">
        <v>68</v>
      </c>
    </row>
    <row r="176" spans="5:8">
      <c r="E176" s="23">
        <v>41956</v>
      </c>
      <c r="F176" s="21" t="s">
        <v>316</v>
      </c>
      <c r="G176" s="21" t="s">
        <v>222</v>
      </c>
      <c r="H176" s="24">
        <v>39.9</v>
      </c>
    </row>
    <row r="177" spans="5:8">
      <c r="E177" s="23">
        <v>42004</v>
      </c>
      <c r="F177" s="21" t="s">
        <v>317</v>
      </c>
      <c r="G177" s="21" t="s">
        <v>130</v>
      </c>
      <c r="H177" s="24">
        <v>45.21</v>
      </c>
    </row>
    <row r="178" spans="5:8">
      <c r="E178" s="23">
        <v>41381</v>
      </c>
      <c r="F178" s="21" t="s">
        <v>318</v>
      </c>
      <c r="G178" s="21" t="s">
        <v>246</v>
      </c>
      <c r="H178" s="24">
        <v>19.95</v>
      </c>
    </row>
    <row r="179" spans="5:8">
      <c r="E179" s="23">
        <v>41615</v>
      </c>
      <c r="F179" s="21" t="s">
        <v>319</v>
      </c>
      <c r="G179" s="21" t="s">
        <v>159</v>
      </c>
      <c r="H179" s="24">
        <v>111.31</v>
      </c>
    </row>
    <row r="180" spans="5:8">
      <c r="E180" s="23">
        <v>41970</v>
      </c>
      <c r="F180" s="21" t="s">
        <v>320</v>
      </c>
      <c r="G180" s="21" t="s">
        <v>180</v>
      </c>
      <c r="H180" s="24">
        <v>570</v>
      </c>
    </row>
    <row r="181" spans="5:8">
      <c r="E181" s="23">
        <v>41696</v>
      </c>
      <c r="F181" s="21" t="s">
        <v>321</v>
      </c>
      <c r="G181" s="21" t="s">
        <v>174</v>
      </c>
      <c r="H181" s="24">
        <v>99.96</v>
      </c>
    </row>
    <row r="182" spans="5:8">
      <c r="E182" s="23">
        <v>41983</v>
      </c>
      <c r="F182" s="21" t="s">
        <v>322</v>
      </c>
      <c r="G182" s="21" t="s">
        <v>106</v>
      </c>
      <c r="H182" s="24">
        <v>67.319999999999993</v>
      </c>
    </row>
    <row r="183" spans="5:8">
      <c r="E183" s="23">
        <v>41629</v>
      </c>
      <c r="F183" s="21" t="s">
        <v>323</v>
      </c>
      <c r="G183" s="21" t="s">
        <v>155</v>
      </c>
      <c r="H183" s="24">
        <v>34</v>
      </c>
    </row>
    <row r="184" spans="5:8">
      <c r="E184" s="23">
        <v>41958</v>
      </c>
      <c r="F184" s="21" t="s">
        <v>324</v>
      </c>
      <c r="G184" s="21" t="s">
        <v>207</v>
      </c>
      <c r="H184" s="24">
        <v>68.16</v>
      </c>
    </row>
    <row r="185" spans="5:8">
      <c r="E185" s="23">
        <v>41588</v>
      </c>
      <c r="F185" s="21" t="s">
        <v>325</v>
      </c>
      <c r="G185" s="21" t="s">
        <v>106</v>
      </c>
      <c r="H185" s="24">
        <v>422.97</v>
      </c>
    </row>
    <row r="186" spans="5:8">
      <c r="E186" s="23">
        <v>41593</v>
      </c>
      <c r="F186" s="21" t="s">
        <v>326</v>
      </c>
      <c r="G186" s="21" t="s">
        <v>106</v>
      </c>
      <c r="H186" s="24">
        <v>41.16</v>
      </c>
    </row>
    <row r="187" spans="5:8">
      <c r="E187" s="23">
        <v>41337</v>
      </c>
      <c r="F187" s="21" t="s">
        <v>327</v>
      </c>
      <c r="G187" s="21" t="s">
        <v>328</v>
      </c>
      <c r="H187" s="24">
        <v>68</v>
      </c>
    </row>
    <row r="188" spans="5:8">
      <c r="E188" s="23">
        <v>41668</v>
      </c>
      <c r="F188" s="21" t="s">
        <v>329</v>
      </c>
      <c r="G188" s="21" t="s">
        <v>126</v>
      </c>
      <c r="H188" s="24">
        <v>102</v>
      </c>
    </row>
    <row r="189" spans="5:8">
      <c r="E189" s="23">
        <v>41400</v>
      </c>
      <c r="F189" s="21" t="s">
        <v>330</v>
      </c>
      <c r="G189" s="21" t="s">
        <v>140</v>
      </c>
      <c r="H189" s="24">
        <v>131.91999999999999</v>
      </c>
    </row>
    <row r="190" spans="5:8">
      <c r="E190" s="23">
        <v>41734</v>
      </c>
      <c r="F190" s="21" t="s">
        <v>331</v>
      </c>
      <c r="G190" s="21" t="s">
        <v>119</v>
      </c>
      <c r="H190" s="24">
        <v>25</v>
      </c>
    </row>
    <row r="191" spans="5:8">
      <c r="E191" s="23">
        <v>41953</v>
      </c>
      <c r="F191" s="21" t="s">
        <v>332</v>
      </c>
      <c r="G191" s="21" t="s">
        <v>135</v>
      </c>
      <c r="H191" s="24">
        <v>225.23</v>
      </c>
    </row>
    <row r="192" spans="5:8">
      <c r="E192" s="23">
        <v>41968</v>
      </c>
      <c r="F192" s="21" t="s">
        <v>333</v>
      </c>
      <c r="G192" s="21" t="s">
        <v>106</v>
      </c>
      <c r="H192" s="24">
        <v>49.25</v>
      </c>
    </row>
    <row r="193" spans="5:8">
      <c r="E193" s="23">
        <v>41825</v>
      </c>
      <c r="F193" s="21" t="s">
        <v>334</v>
      </c>
      <c r="G193" s="21" t="s">
        <v>225</v>
      </c>
      <c r="H193" s="24">
        <v>48.5</v>
      </c>
    </row>
    <row r="194" spans="5:8">
      <c r="E194" s="23">
        <v>41999</v>
      </c>
      <c r="F194" s="21" t="s">
        <v>335</v>
      </c>
      <c r="G194" s="21" t="s">
        <v>135</v>
      </c>
      <c r="H194" s="24">
        <v>44.52</v>
      </c>
    </row>
    <row r="195" spans="5:8">
      <c r="E195" s="23">
        <v>41739</v>
      </c>
      <c r="F195" s="21" t="s">
        <v>336</v>
      </c>
      <c r="G195" s="21" t="s">
        <v>337</v>
      </c>
      <c r="H195" s="24">
        <v>48.75</v>
      </c>
    </row>
    <row r="196" spans="5:8">
      <c r="E196" s="23">
        <v>41595</v>
      </c>
      <c r="F196" s="21" t="s">
        <v>338</v>
      </c>
      <c r="G196" s="21" t="s">
        <v>203</v>
      </c>
      <c r="H196" s="24">
        <v>20.58</v>
      </c>
    </row>
    <row r="197" spans="5:8">
      <c r="E197" s="23">
        <v>41977</v>
      </c>
      <c r="F197" s="21" t="s">
        <v>339</v>
      </c>
      <c r="G197" s="21" t="s">
        <v>174</v>
      </c>
      <c r="H197" s="24">
        <v>50</v>
      </c>
    </row>
    <row r="198" spans="5:8">
      <c r="E198" s="23">
        <v>41592</v>
      </c>
      <c r="F198" s="21" t="s">
        <v>340</v>
      </c>
      <c r="G198" s="21" t="s">
        <v>135</v>
      </c>
      <c r="H198" s="24">
        <v>97.76</v>
      </c>
    </row>
    <row r="199" spans="5:8">
      <c r="E199" s="23">
        <v>41619</v>
      </c>
      <c r="F199" s="21" t="s">
        <v>341</v>
      </c>
      <c r="G199" s="21" t="s">
        <v>113</v>
      </c>
      <c r="H199" s="24">
        <v>48.75</v>
      </c>
    </row>
    <row r="200" spans="5:8">
      <c r="E200" s="23">
        <v>41344</v>
      </c>
      <c r="F200" s="21" t="s">
        <v>342</v>
      </c>
      <c r="G200" s="21" t="s">
        <v>207</v>
      </c>
      <c r="H200" s="24">
        <v>79.95</v>
      </c>
    </row>
    <row r="201" spans="5:8">
      <c r="E201" s="23">
        <v>41968</v>
      </c>
      <c r="F201" s="21" t="s">
        <v>343</v>
      </c>
      <c r="G201" s="21" t="s">
        <v>222</v>
      </c>
      <c r="H201" s="24">
        <v>67.319999999999993</v>
      </c>
    </row>
    <row r="202" spans="5:8">
      <c r="E202" s="23">
        <v>41599</v>
      </c>
      <c r="F202" s="21" t="s">
        <v>344</v>
      </c>
      <c r="G202" s="21" t="s">
        <v>140</v>
      </c>
      <c r="H202" s="24">
        <v>59.85</v>
      </c>
    </row>
    <row r="203" spans="5:8">
      <c r="E203" s="23">
        <v>41337</v>
      </c>
      <c r="F203" s="21" t="s">
        <v>345</v>
      </c>
      <c r="G203" s="21" t="s">
        <v>106</v>
      </c>
      <c r="H203" s="24">
        <v>39.9</v>
      </c>
    </row>
    <row r="204" spans="5:8">
      <c r="E204" s="23">
        <v>41961</v>
      </c>
      <c r="F204" s="21" t="s">
        <v>346</v>
      </c>
      <c r="G204" s="21" t="s">
        <v>116</v>
      </c>
      <c r="H204" s="24">
        <v>65.959999999999994</v>
      </c>
    </row>
    <row r="205" spans="5:8">
      <c r="E205" s="23">
        <v>41616</v>
      </c>
      <c r="F205" s="21" t="s">
        <v>347</v>
      </c>
      <c r="G205" s="21" t="s">
        <v>149</v>
      </c>
      <c r="H205" s="24">
        <v>39.5</v>
      </c>
    </row>
    <row r="206" spans="5:8">
      <c r="E206" s="23">
        <v>41580</v>
      </c>
      <c r="F206" s="21" t="s">
        <v>348</v>
      </c>
      <c r="G206" s="21" t="s">
        <v>113</v>
      </c>
      <c r="H206" s="24">
        <v>68.16</v>
      </c>
    </row>
    <row r="207" spans="5:8">
      <c r="E207" s="23">
        <v>42001</v>
      </c>
      <c r="F207" s="21" t="s">
        <v>349</v>
      </c>
      <c r="G207" s="21" t="s">
        <v>193</v>
      </c>
      <c r="H207" s="24">
        <v>99.45</v>
      </c>
    </row>
    <row r="208" spans="5:8">
      <c r="E208" s="23">
        <v>41584</v>
      </c>
      <c r="F208" s="21" t="s">
        <v>350</v>
      </c>
      <c r="G208" s="21" t="s">
        <v>186</v>
      </c>
      <c r="H208" s="24">
        <v>29.1</v>
      </c>
    </row>
    <row r="209" spans="5:8">
      <c r="E209" s="23">
        <v>41995</v>
      </c>
      <c r="F209" s="21" t="s">
        <v>351</v>
      </c>
      <c r="G209" s="21" t="s">
        <v>116</v>
      </c>
      <c r="H209" s="24">
        <v>48.75</v>
      </c>
    </row>
    <row r="210" spans="5:8">
      <c r="E210" s="23">
        <v>41687</v>
      </c>
      <c r="F210" s="21" t="s">
        <v>352</v>
      </c>
      <c r="G210" s="21" t="s">
        <v>222</v>
      </c>
      <c r="H210" s="24">
        <v>73.5</v>
      </c>
    </row>
    <row r="211" spans="5:8">
      <c r="E211" s="23">
        <v>41857</v>
      </c>
      <c r="F211" s="21" t="s">
        <v>353</v>
      </c>
      <c r="G211" s="21" t="s">
        <v>155</v>
      </c>
      <c r="H211" s="24">
        <v>34</v>
      </c>
    </row>
    <row r="212" spans="5:8">
      <c r="E212" s="23">
        <v>41772</v>
      </c>
      <c r="F212" s="21" t="s">
        <v>354</v>
      </c>
      <c r="G212" s="21" t="s">
        <v>202</v>
      </c>
      <c r="H212" s="24">
        <v>740.52</v>
      </c>
    </row>
    <row r="213" spans="5:8">
      <c r="E213" s="23">
        <v>41605</v>
      </c>
      <c r="F213" s="21" t="s">
        <v>355</v>
      </c>
      <c r="G213" s="21" t="s">
        <v>207</v>
      </c>
      <c r="H213" s="24">
        <v>41.58</v>
      </c>
    </row>
    <row r="214" spans="5:8">
      <c r="E214" s="23">
        <v>41962</v>
      </c>
      <c r="F214" s="21" t="s">
        <v>356</v>
      </c>
      <c r="G214" s="21" t="s">
        <v>159</v>
      </c>
      <c r="H214" s="24">
        <v>22.95</v>
      </c>
    </row>
    <row r="215" spans="5:8">
      <c r="E215" s="23">
        <v>41599</v>
      </c>
      <c r="F215" s="21" t="s">
        <v>357</v>
      </c>
      <c r="G215" s="21" t="s">
        <v>113</v>
      </c>
      <c r="H215" s="24">
        <v>425.15</v>
      </c>
    </row>
    <row r="216" spans="5:8">
      <c r="E216" s="23">
        <v>41837</v>
      </c>
      <c r="F216" s="21" t="s">
        <v>358</v>
      </c>
      <c r="G216" s="21" t="s">
        <v>123</v>
      </c>
      <c r="H216" s="24">
        <v>59.1</v>
      </c>
    </row>
    <row r="217" spans="5:8">
      <c r="E217" s="23">
        <v>41624</v>
      </c>
      <c r="F217" s="21" t="s">
        <v>359</v>
      </c>
      <c r="G217" s="21" t="s">
        <v>123</v>
      </c>
      <c r="H217" s="24">
        <v>306</v>
      </c>
    </row>
    <row r="218" spans="5:8">
      <c r="E218" s="23">
        <v>41590</v>
      </c>
      <c r="F218" s="21" t="s">
        <v>360</v>
      </c>
      <c r="G218" s="21" t="s">
        <v>135</v>
      </c>
      <c r="H218" s="24">
        <v>60</v>
      </c>
    </row>
    <row r="219" spans="5:8">
      <c r="E219" s="23">
        <v>41667</v>
      </c>
      <c r="F219" s="21" t="s">
        <v>361</v>
      </c>
      <c r="G219" s="21" t="s">
        <v>113</v>
      </c>
      <c r="H219" s="24">
        <v>120</v>
      </c>
    </row>
    <row r="220" spans="5:8">
      <c r="E220" s="23">
        <v>41601</v>
      </c>
      <c r="F220" s="21" t="s">
        <v>362</v>
      </c>
      <c r="G220" s="21" t="s">
        <v>140</v>
      </c>
      <c r="H220" s="24">
        <v>33.32</v>
      </c>
    </row>
    <row r="221" spans="5:8">
      <c r="E221" s="23">
        <v>41566</v>
      </c>
      <c r="F221" s="21" t="s">
        <v>363</v>
      </c>
      <c r="G221" s="21" t="s">
        <v>159</v>
      </c>
      <c r="H221" s="24">
        <v>22.38</v>
      </c>
    </row>
    <row r="222" spans="5:8">
      <c r="E222" s="23">
        <v>41944</v>
      </c>
      <c r="F222" s="21" t="s">
        <v>364</v>
      </c>
      <c r="G222" s="21" t="s">
        <v>365</v>
      </c>
      <c r="H222" s="24">
        <v>55.86</v>
      </c>
    </row>
    <row r="223" spans="5:8">
      <c r="E223" s="23">
        <v>41999</v>
      </c>
      <c r="F223" s="21" t="s">
        <v>366</v>
      </c>
      <c r="G223" s="21" t="s">
        <v>203</v>
      </c>
      <c r="H223" s="24">
        <v>44.75</v>
      </c>
    </row>
    <row r="224" spans="5:8">
      <c r="E224" s="23">
        <v>41549</v>
      </c>
      <c r="F224" s="21" t="s">
        <v>367</v>
      </c>
      <c r="G224" s="21" t="s">
        <v>113</v>
      </c>
      <c r="H224" s="24">
        <v>23.5</v>
      </c>
    </row>
    <row r="225" spans="5:8">
      <c r="E225" s="23">
        <v>41335</v>
      </c>
      <c r="F225" s="21" t="s">
        <v>368</v>
      </c>
      <c r="G225" s="21" t="s">
        <v>106</v>
      </c>
      <c r="H225" s="24">
        <v>19.75</v>
      </c>
    </row>
    <row r="226" spans="5:8">
      <c r="E226" s="23">
        <v>41588</v>
      </c>
      <c r="F226" s="21" t="s">
        <v>369</v>
      </c>
      <c r="G226" s="21" t="s">
        <v>370</v>
      </c>
      <c r="H226" s="24">
        <v>234.43</v>
      </c>
    </row>
    <row r="227" spans="5:8">
      <c r="E227" s="23">
        <v>41947</v>
      </c>
      <c r="F227" s="21" t="s">
        <v>371</v>
      </c>
      <c r="G227" s="21" t="s">
        <v>123</v>
      </c>
      <c r="H227" s="24">
        <v>22.72</v>
      </c>
    </row>
    <row r="228" spans="5:8">
      <c r="E228" s="23">
        <v>41962</v>
      </c>
      <c r="F228" s="21" t="s">
        <v>372</v>
      </c>
      <c r="G228" s="21" t="s">
        <v>156</v>
      </c>
      <c r="H228" s="24">
        <v>67.319999999999993</v>
      </c>
    </row>
    <row r="229" spans="5:8">
      <c r="E229" s="23">
        <v>42001</v>
      </c>
      <c r="F229" s="21" t="s">
        <v>373</v>
      </c>
      <c r="G229" s="21" t="s">
        <v>130</v>
      </c>
      <c r="H229" s="24">
        <v>68</v>
      </c>
    </row>
    <row r="230" spans="5:8">
      <c r="E230" s="23">
        <v>41420</v>
      </c>
      <c r="F230" s="21" t="s">
        <v>374</v>
      </c>
      <c r="G230" s="21" t="s">
        <v>123</v>
      </c>
      <c r="H230" s="24">
        <v>67.319999999999993</v>
      </c>
    </row>
    <row r="231" spans="5:8">
      <c r="E231" s="23">
        <v>41956</v>
      </c>
      <c r="F231" s="21" t="s">
        <v>375</v>
      </c>
      <c r="G231" s="21" t="s">
        <v>376</v>
      </c>
      <c r="H231" s="24">
        <v>39.9</v>
      </c>
    </row>
    <row r="232" spans="5:8">
      <c r="E232" s="23">
        <v>41988</v>
      </c>
      <c r="F232" s="21" t="s">
        <v>377</v>
      </c>
      <c r="G232" s="21" t="s">
        <v>209</v>
      </c>
      <c r="H232" s="24">
        <v>67.819999999999993</v>
      </c>
    </row>
    <row r="233" spans="5:8">
      <c r="E233" s="23">
        <v>41959</v>
      </c>
      <c r="F233" s="21" t="s">
        <v>378</v>
      </c>
      <c r="G233" s="21" t="s">
        <v>140</v>
      </c>
      <c r="H233" s="24">
        <v>22.95</v>
      </c>
    </row>
    <row r="234" spans="5:8">
      <c r="E234" s="23">
        <v>41963</v>
      </c>
      <c r="F234" s="21" t="s">
        <v>379</v>
      </c>
      <c r="G234" s="21" t="s">
        <v>106</v>
      </c>
      <c r="H234" s="24">
        <v>68</v>
      </c>
    </row>
    <row r="235" spans="5:8">
      <c r="E235" s="23">
        <v>41526</v>
      </c>
      <c r="F235" s="21" t="s">
        <v>380</v>
      </c>
      <c r="G235" s="21" t="s">
        <v>159</v>
      </c>
      <c r="H235" s="24">
        <v>105</v>
      </c>
    </row>
    <row r="236" spans="5:8">
      <c r="E236" s="23">
        <v>41994</v>
      </c>
      <c r="F236" s="21" t="s">
        <v>381</v>
      </c>
      <c r="G236" s="21" t="s">
        <v>113</v>
      </c>
      <c r="H236" s="24">
        <v>188</v>
      </c>
    </row>
    <row r="237" spans="5:8">
      <c r="E237" s="23">
        <v>41675</v>
      </c>
      <c r="F237" s="21" t="s">
        <v>382</v>
      </c>
      <c r="G237" s="21" t="s">
        <v>126</v>
      </c>
      <c r="H237" s="24">
        <v>68.849999999999994</v>
      </c>
    </row>
    <row r="238" spans="5:8">
      <c r="E238" s="23">
        <v>41585</v>
      </c>
      <c r="F238" s="21" t="s">
        <v>383</v>
      </c>
      <c r="G238" s="21" t="s">
        <v>113</v>
      </c>
      <c r="H238" s="24">
        <v>243.75</v>
      </c>
    </row>
    <row r="239" spans="5:8">
      <c r="E239" s="23">
        <v>41619</v>
      </c>
      <c r="F239" s="21" t="s">
        <v>384</v>
      </c>
      <c r="G239" s="21" t="s">
        <v>119</v>
      </c>
      <c r="H239" s="24">
        <v>68.849999999999994</v>
      </c>
    </row>
    <row r="240" spans="5:8">
      <c r="E240" s="23">
        <v>41816</v>
      </c>
      <c r="F240" s="21" t="s">
        <v>385</v>
      </c>
      <c r="G240" s="21" t="s">
        <v>249</v>
      </c>
      <c r="H240" s="24">
        <v>55</v>
      </c>
    </row>
    <row r="241" spans="5:8">
      <c r="E241" s="23">
        <v>41622</v>
      </c>
      <c r="F241" s="21" t="s">
        <v>386</v>
      </c>
      <c r="G241" s="21" t="s">
        <v>113</v>
      </c>
      <c r="H241" s="24">
        <v>100.98</v>
      </c>
    </row>
    <row r="242" spans="5:8">
      <c r="E242" s="23">
        <v>41979</v>
      </c>
      <c r="F242" s="21" t="s">
        <v>387</v>
      </c>
      <c r="G242" s="21" t="s">
        <v>116</v>
      </c>
      <c r="H242" s="24">
        <v>98.5</v>
      </c>
    </row>
    <row r="243" spans="5:8">
      <c r="E243" s="23">
        <v>41607</v>
      </c>
      <c r="F243" s="21" t="s">
        <v>388</v>
      </c>
      <c r="G243" s="21" t="s">
        <v>140</v>
      </c>
      <c r="H243" s="24">
        <v>159.9</v>
      </c>
    </row>
    <row r="244" spans="5:8">
      <c r="E244" s="23">
        <v>41602</v>
      </c>
      <c r="F244" s="21" t="s">
        <v>389</v>
      </c>
      <c r="G244" s="21" t="s">
        <v>168</v>
      </c>
      <c r="H244" s="24">
        <v>68</v>
      </c>
    </row>
    <row r="245" spans="5:8">
      <c r="E245" s="23">
        <v>41638</v>
      </c>
      <c r="F245" s="21" t="s">
        <v>390</v>
      </c>
      <c r="G245" s="21" t="s">
        <v>140</v>
      </c>
      <c r="H245" s="24">
        <v>68.849999999999994</v>
      </c>
    </row>
    <row r="246" spans="5:8">
      <c r="E246" s="23">
        <v>41614</v>
      </c>
      <c r="F246" s="21" t="s">
        <v>391</v>
      </c>
      <c r="G246" s="21" t="s">
        <v>300</v>
      </c>
      <c r="H246" s="24">
        <v>44.75</v>
      </c>
    </row>
    <row r="247" spans="5:8">
      <c r="E247" s="23">
        <v>41601</v>
      </c>
      <c r="F247" s="21" t="s">
        <v>392</v>
      </c>
      <c r="G247" s="21" t="s">
        <v>174</v>
      </c>
      <c r="H247" s="24">
        <v>73.5</v>
      </c>
    </row>
    <row r="248" spans="5:8">
      <c r="E248" s="23">
        <v>41635</v>
      </c>
      <c r="F248" s="21" t="s">
        <v>393</v>
      </c>
      <c r="G248" s="21" t="s">
        <v>394</v>
      </c>
      <c r="H248" s="24">
        <v>39.9</v>
      </c>
    </row>
    <row r="249" spans="5:8">
      <c r="E249" s="23">
        <v>41708</v>
      </c>
      <c r="F249" s="21" t="s">
        <v>395</v>
      </c>
      <c r="G249" s="21" t="s">
        <v>106</v>
      </c>
      <c r="H249" s="24">
        <v>63</v>
      </c>
    </row>
    <row r="250" spans="5:8">
      <c r="E250" s="23">
        <v>41953</v>
      </c>
      <c r="F250" s="21" t="s">
        <v>396</v>
      </c>
      <c r="G250" s="21" t="s">
        <v>130</v>
      </c>
      <c r="H250" s="24">
        <v>404.84</v>
      </c>
    </row>
    <row r="251" spans="5:8">
      <c r="E251" s="23">
        <v>41999</v>
      </c>
      <c r="F251" s="21" t="s">
        <v>397</v>
      </c>
      <c r="G251" s="21" t="s">
        <v>119</v>
      </c>
      <c r="H251" s="24">
        <v>45.9</v>
      </c>
    </row>
    <row r="252" spans="5:8">
      <c r="E252" s="23">
        <v>41618</v>
      </c>
      <c r="F252" s="21" t="s">
        <v>398</v>
      </c>
      <c r="G252" s="21" t="s">
        <v>209</v>
      </c>
      <c r="H252" s="24">
        <v>61.74</v>
      </c>
    </row>
    <row r="253" spans="5:8">
      <c r="E253" s="23">
        <v>41619</v>
      </c>
      <c r="F253" s="21" t="s">
        <v>399</v>
      </c>
      <c r="G253" s="21" t="s">
        <v>135</v>
      </c>
      <c r="H253" s="24">
        <v>50</v>
      </c>
    </row>
    <row r="254" spans="5:8">
      <c r="E254" s="23">
        <v>41347</v>
      </c>
      <c r="F254" s="21" t="s">
        <v>400</v>
      </c>
      <c r="G254" s="21" t="s">
        <v>106</v>
      </c>
      <c r="H254" s="24">
        <v>19.95</v>
      </c>
    </row>
    <row r="255" spans="5:8">
      <c r="E255" s="23">
        <v>41600</v>
      </c>
      <c r="F255" s="21" t="s">
        <v>401</v>
      </c>
      <c r="G255" s="21" t="s">
        <v>174</v>
      </c>
      <c r="H255" s="24">
        <v>239.85</v>
      </c>
    </row>
    <row r="256" spans="5:8">
      <c r="E256" s="23">
        <v>41944</v>
      </c>
      <c r="F256" s="21" t="s">
        <v>402</v>
      </c>
      <c r="G256" s="21" t="s">
        <v>149</v>
      </c>
      <c r="H256" s="24">
        <v>68.849999999999994</v>
      </c>
    </row>
    <row r="257" spans="5:8">
      <c r="E257" s="23">
        <v>41279</v>
      </c>
      <c r="F257" s="21" t="s">
        <v>403</v>
      </c>
      <c r="G257" s="21" t="s">
        <v>140</v>
      </c>
      <c r="H257" s="24">
        <v>319.8</v>
      </c>
    </row>
    <row r="258" spans="5:8">
      <c r="E258" s="23">
        <v>41496</v>
      </c>
      <c r="F258" s="21" t="s">
        <v>404</v>
      </c>
      <c r="G258" s="21" t="s">
        <v>156</v>
      </c>
      <c r="H258" s="24">
        <v>239.85</v>
      </c>
    </row>
    <row r="259" spans="5:8">
      <c r="E259" s="23">
        <v>41632</v>
      </c>
      <c r="F259" s="21" t="s">
        <v>405</v>
      </c>
      <c r="G259" s="21" t="s">
        <v>135</v>
      </c>
      <c r="H259" s="24">
        <v>560.66</v>
      </c>
    </row>
    <row r="260" spans="5:8">
      <c r="E260" s="23">
        <v>41607</v>
      </c>
      <c r="F260" s="21" t="s">
        <v>406</v>
      </c>
      <c r="G260" s="21" t="s">
        <v>165</v>
      </c>
      <c r="H260" s="24">
        <v>79.8</v>
      </c>
    </row>
    <row r="261" spans="5:8">
      <c r="E261" s="23">
        <v>41607</v>
      </c>
      <c r="F261" s="21" t="s">
        <v>407</v>
      </c>
      <c r="G261" s="21" t="s">
        <v>193</v>
      </c>
      <c r="H261" s="24">
        <v>74.25</v>
      </c>
    </row>
    <row r="262" spans="5:8">
      <c r="E262" s="23">
        <v>41964</v>
      </c>
      <c r="F262" s="21" t="s">
        <v>408</v>
      </c>
      <c r="G262" s="21" t="s">
        <v>126</v>
      </c>
      <c r="H262" s="24">
        <v>24.5</v>
      </c>
    </row>
    <row r="263" spans="5:8">
      <c r="E263" s="23">
        <v>41610</v>
      </c>
      <c r="F263" s="21" t="s">
        <v>409</v>
      </c>
      <c r="G263" s="21" t="s">
        <v>135</v>
      </c>
      <c r="H263" s="24">
        <v>68.16</v>
      </c>
    </row>
    <row r="264" spans="5:8">
      <c r="E264" s="23">
        <v>41588</v>
      </c>
      <c r="F264" s="21" t="s">
        <v>410</v>
      </c>
      <c r="G264" s="21" t="s">
        <v>376</v>
      </c>
      <c r="H264" s="24">
        <v>37.43</v>
      </c>
    </row>
    <row r="265" spans="5:8">
      <c r="E265" s="23">
        <v>41596</v>
      </c>
      <c r="F265" s="21" t="s">
        <v>411</v>
      </c>
      <c r="G265" s="21" t="s">
        <v>159</v>
      </c>
      <c r="H265" s="24">
        <v>67.13</v>
      </c>
    </row>
    <row r="266" spans="5:8">
      <c r="E266" s="23">
        <v>41633</v>
      </c>
      <c r="F266" s="21" t="s">
        <v>412</v>
      </c>
      <c r="G266" s="21" t="s">
        <v>113</v>
      </c>
      <c r="H266" s="24">
        <v>22.95</v>
      </c>
    </row>
    <row r="267" spans="5:8">
      <c r="E267" s="23">
        <v>41474</v>
      </c>
      <c r="F267" s="21" t="s">
        <v>413</v>
      </c>
      <c r="G267" s="21" t="s">
        <v>222</v>
      </c>
      <c r="H267" s="24">
        <v>67.13</v>
      </c>
    </row>
    <row r="268" spans="5:8">
      <c r="E268" s="23">
        <v>41608</v>
      </c>
      <c r="F268" s="21" t="s">
        <v>414</v>
      </c>
      <c r="G268" s="21" t="s">
        <v>119</v>
      </c>
      <c r="H268" s="24">
        <v>68</v>
      </c>
    </row>
    <row r="269" spans="5:8">
      <c r="E269" s="23">
        <v>41994</v>
      </c>
      <c r="F269" s="21" t="s">
        <v>415</v>
      </c>
      <c r="G269" s="21" t="s">
        <v>365</v>
      </c>
      <c r="H269" s="24">
        <v>39.1</v>
      </c>
    </row>
    <row r="270" spans="5:8">
      <c r="E270" s="23">
        <v>41962</v>
      </c>
      <c r="F270" s="21" t="s">
        <v>416</v>
      </c>
      <c r="G270" s="21" t="s">
        <v>202</v>
      </c>
      <c r="H270" s="24">
        <v>39.9</v>
      </c>
    </row>
    <row r="271" spans="5:8">
      <c r="E271" s="23">
        <v>41606</v>
      </c>
      <c r="F271" s="21" t="s">
        <v>417</v>
      </c>
      <c r="G271" s="21" t="s">
        <v>222</v>
      </c>
      <c r="H271" s="24">
        <v>44.75</v>
      </c>
    </row>
    <row r="272" spans="5:8">
      <c r="E272" s="23">
        <v>41945</v>
      </c>
      <c r="F272" s="21" t="s">
        <v>418</v>
      </c>
      <c r="G272" s="21" t="s">
        <v>222</v>
      </c>
      <c r="H272" s="24">
        <v>67.819999999999993</v>
      </c>
    </row>
    <row r="273" spans="5:8">
      <c r="E273" s="23">
        <v>42002</v>
      </c>
      <c r="F273" s="21" t="s">
        <v>419</v>
      </c>
      <c r="G273" s="21" t="s">
        <v>162</v>
      </c>
      <c r="H273" s="24">
        <v>74.25</v>
      </c>
    </row>
    <row r="274" spans="5:8">
      <c r="E274" s="23">
        <v>41951</v>
      </c>
      <c r="F274" s="21" t="s">
        <v>420</v>
      </c>
      <c r="G274" s="21" t="s">
        <v>246</v>
      </c>
      <c r="H274" s="24">
        <v>68.849999999999994</v>
      </c>
    </row>
    <row r="275" spans="5:8">
      <c r="E275" s="23">
        <v>41988</v>
      </c>
      <c r="F275" s="21" t="s">
        <v>421</v>
      </c>
      <c r="G275" s="21" t="s">
        <v>207</v>
      </c>
      <c r="H275" s="24">
        <v>88.65</v>
      </c>
    </row>
    <row r="276" spans="5:8">
      <c r="E276" s="23">
        <v>41635</v>
      </c>
      <c r="F276" s="21" t="s">
        <v>422</v>
      </c>
      <c r="G276" s="21" t="s">
        <v>123</v>
      </c>
      <c r="H276" s="24">
        <v>33.15</v>
      </c>
    </row>
    <row r="277" spans="5:8">
      <c r="E277" s="23">
        <v>41962</v>
      </c>
      <c r="F277" s="21" t="s">
        <v>423</v>
      </c>
      <c r="G277" s="21" t="s">
        <v>156</v>
      </c>
      <c r="H277" s="24">
        <v>408</v>
      </c>
    </row>
    <row r="278" spans="5:8">
      <c r="E278" s="23">
        <v>41999</v>
      </c>
      <c r="F278" s="21" t="s">
        <v>424</v>
      </c>
      <c r="G278" s="21" t="s">
        <v>222</v>
      </c>
      <c r="H278" s="24">
        <v>70.5</v>
      </c>
    </row>
    <row r="279" spans="5:8">
      <c r="E279" s="23">
        <v>42002</v>
      </c>
      <c r="F279" s="21" t="s">
        <v>425</v>
      </c>
      <c r="G279" s="21" t="s">
        <v>178</v>
      </c>
      <c r="H279" s="24">
        <v>20.37</v>
      </c>
    </row>
    <row r="280" spans="5:8">
      <c r="E280" s="23">
        <v>41608</v>
      </c>
      <c r="F280" s="21" t="s">
        <v>426</v>
      </c>
      <c r="G280" s="21" t="s">
        <v>186</v>
      </c>
      <c r="H280" s="24">
        <v>42</v>
      </c>
    </row>
    <row r="281" spans="5:8">
      <c r="E281" s="23">
        <v>41597</v>
      </c>
      <c r="F281" s="21" t="s">
        <v>427</v>
      </c>
      <c r="G281" s="21" t="s">
        <v>149</v>
      </c>
      <c r="H281" s="24">
        <v>816</v>
      </c>
    </row>
    <row r="282" spans="5:8">
      <c r="E282" s="23">
        <v>41599</v>
      </c>
      <c r="F282" s="21" t="s">
        <v>428</v>
      </c>
      <c r="G282" s="21" t="s">
        <v>103</v>
      </c>
      <c r="H282" s="24">
        <v>70.5</v>
      </c>
    </row>
    <row r="283" spans="5:8">
      <c r="E283" s="23">
        <v>41975</v>
      </c>
      <c r="F283" s="21" t="s">
        <v>429</v>
      </c>
      <c r="G283" s="21" t="s">
        <v>186</v>
      </c>
      <c r="H283" s="24">
        <v>67.13</v>
      </c>
    </row>
    <row r="284" spans="5:8">
      <c r="E284" s="23">
        <v>41944</v>
      </c>
      <c r="F284" s="21" t="s">
        <v>430</v>
      </c>
      <c r="G284" s="21" t="s">
        <v>106</v>
      </c>
      <c r="H284" s="24">
        <v>68</v>
      </c>
    </row>
    <row r="285" spans="5:8">
      <c r="E285" s="23">
        <v>41569</v>
      </c>
      <c r="F285" s="21" t="s">
        <v>431</v>
      </c>
      <c r="G285" s="21" t="s">
        <v>106</v>
      </c>
      <c r="H285" s="24">
        <v>41.37</v>
      </c>
    </row>
    <row r="286" spans="5:8">
      <c r="E286" s="23">
        <v>41957</v>
      </c>
      <c r="F286" s="21" t="s">
        <v>432</v>
      </c>
      <c r="G286" s="21" t="s">
        <v>186</v>
      </c>
      <c r="H286" s="24">
        <v>44.52</v>
      </c>
    </row>
    <row r="287" spans="5:8">
      <c r="E287" s="23">
        <v>41955</v>
      </c>
      <c r="F287" s="21" t="s">
        <v>433</v>
      </c>
      <c r="G287" s="21" t="s">
        <v>266</v>
      </c>
      <c r="H287" s="24">
        <v>59.85</v>
      </c>
    </row>
    <row r="288" spans="5:8">
      <c r="E288" s="23">
        <v>41985</v>
      </c>
      <c r="F288" s="21" t="s">
        <v>434</v>
      </c>
      <c r="G288" s="21" t="s">
        <v>337</v>
      </c>
      <c r="H288" s="24">
        <v>38.700000000000003</v>
      </c>
    </row>
    <row r="289" spans="5:8">
      <c r="E289" s="23">
        <v>41585</v>
      </c>
      <c r="F289" s="21" t="s">
        <v>435</v>
      </c>
      <c r="G289" s="21" t="s">
        <v>135</v>
      </c>
      <c r="H289" s="24">
        <v>22.38</v>
      </c>
    </row>
    <row r="290" spans="5:8">
      <c r="E290" s="23">
        <v>41633</v>
      </c>
      <c r="F290" s="21" t="s">
        <v>436</v>
      </c>
      <c r="G290" s="21" t="s">
        <v>106</v>
      </c>
      <c r="H290" s="24">
        <v>45.9</v>
      </c>
    </row>
    <row r="291" spans="5:8">
      <c r="E291" s="23">
        <v>41999</v>
      </c>
      <c r="F291" s="21" t="s">
        <v>437</v>
      </c>
      <c r="G291" s="21" t="s">
        <v>300</v>
      </c>
      <c r="H291" s="24">
        <v>100.47</v>
      </c>
    </row>
    <row r="292" spans="5:8">
      <c r="E292" s="23">
        <v>41954</v>
      </c>
      <c r="F292" s="21" t="s">
        <v>438</v>
      </c>
      <c r="G292" s="21" t="s">
        <v>113</v>
      </c>
      <c r="H292" s="24">
        <v>44.52</v>
      </c>
    </row>
    <row r="293" spans="5:8">
      <c r="E293" s="23">
        <v>41634</v>
      </c>
      <c r="F293" s="21" t="s">
        <v>439</v>
      </c>
      <c r="G293" s="21" t="s">
        <v>202</v>
      </c>
      <c r="H293" s="24">
        <v>66.3</v>
      </c>
    </row>
    <row r="294" spans="5:8">
      <c r="E294" s="23">
        <v>41372</v>
      </c>
      <c r="F294" s="21" t="s">
        <v>440</v>
      </c>
      <c r="G294" s="21" t="s">
        <v>140</v>
      </c>
      <c r="H294" s="24">
        <v>45.9</v>
      </c>
    </row>
    <row r="295" spans="5:8">
      <c r="E295" s="23">
        <v>41626</v>
      </c>
      <c r="F295" s="21" t="s">
        <v>441</v>
      </c>
      <c r="G295" s="21" t="s">
        <v>130</v>
      </c>
      <c r="H295" s="24">
        <v>47</v>
      </c>
    </row>
    <row r="296" spans="5:8">
      <c r="E296" s="23">
        <v>41521</v>
      </c>
      <c r="F296" s="21" t="s">
        <v>442</v>
      </c>
      <c r="G296" s="21" t="s">
        <v>109</v>
      </c>
      <c r="H296" s="24">
        <v>32.979999999999997</v>
      </c>
    </row>
    <row r="297" spans="5:8">
      <c r="E297" s="23">
        <v>42004</v>
      </c>
      <c r="F297" s="21" t="s">
        <v>443</v>
      </c>
      <c r="G297" s="21" t="s">
        <v>123</v>
      </c>
      <c r="H297" s="24">
        <v>75</v>
      </c>
    </row>
    <row r="298" spans="5:8">
      <c r="E298" s="23">
        <v>41957</v>
      </c>
      <c r="F298" s="21" t="s">
        <v>444</v>
      </c>
      <c r="G298" s="21" t="s">
        <v>207</v>
      </c>
      <c r="H298" s="24">
        <v>49</v>
      </c>
    </row>
    <row r="299" spans="5:8">
      <c r="E299" s="23">
        <v>41333</v>
      </c>
      <c r="F299" s="21" t="s">
        <v>445</v>
      </c>
      <c r="G299" s="21" t="s">
        <v>446</v>
      </c>
      <c r="H299" s="24">
        <v>45.9</v>
      </c>
    </row>
    <row r="300" spans="5:8">
      <c r="E300" s="23">
        <v>41581</v>
      </c>
      <c r="F300" s="21" t="s">
        <v>447</v>
      </c>
      <c r="G300" s="21" t="s">
        <v>106</v>
      </c>
      <c r="H300" s="24">
        <v>90</v>
      </c>
    </row>
    <row r="301" spans="5:8">
      <c r="E301" s="23">
        <v>41936</v>
      </c>
      <c r="F301" s="21" t="s">
        <v>448</v>
      </c>
      <c r="G301" s="21" t="s">
        <v>106</v>
      </c>
      <c r="H301" s="24">
        <v>47</v>
      </c>
    </row>
    <row r="302" spans="5:8">
      <c r="E302" s="23">
        <v>41631</v>
      </c>
      <c r="F302" s="21" t="s">
        <v>449</v>
      </c>
      <c r="G302" s="21" t="s">
        <v>119</v>
      </c>
      <c r="H302" s="24">
        <v>29.55</v>
      </c>
    </row>
    <row r="303" spans="5:8">
      <c r="E303" s="23">
        <v>41637</v>
      </c>
      <c r="F303" s="21" t="s">
        <v>450</v>
      </c>
      <c r="G303" s="21" t="s">
        <v>225</v>
      </c>
      <c r="H303" s="24">
        <v>32.979999999999997</v>
      </c>
    </row>
    <row r="304" spans="5:8">
      <c r="E304" s="23">
        <v>41871</v>
      </c>
      <c r="F304" s="21" t="s">
        <v>451</v>
      </c>
      <c r="G304" s="21" t="s">
        <v>159</v>
      </c>
      <c r="H304" s="24">
        <v>49.5</v>
      </c>
    </row>
    <row r="305" spans="5:8">
      <c r="E305" s="23">
        <v>41597</v>
      </c>
      <c r="F305" s="21" t="s">
        <v>452</v>
      </c>
      <c r="G305" s="21" t="s">
        <v>123</v>
      </c>
      <c r="H305" s="24">
        <v>45.9</v>
      </c>
    </row>
    <row r="306" spans="5:8">
      <c r="E306" s="23">
        <v>41978</v>
      </c>
      <c r="F306" s="21" t="s">
        <v>453</v>
      </c>
      <c r="G306" s="21" t="s">
        <v>204</v>
      </c>
      <c r="H306" s="24">
        <v>25</v>
      </c>
    </row>
    <row r="307" spans="5:8">
      <c r="E307" s="23">
        <v>41635</v>
      </c>
      <c r="F307" s="21" t="s">
        <v>454</v>
      </c>
      <c r="G307" s="21" t="s">
        <v>135</v>
      </c>
      <c r="H307" s="24">
        <v>22.95</v>
      </c>
    </row>
    <row r="308" spans="5:8">
      <c r="E308" s="23">
        <v>42004</v>
      </c>
      <c r="F308" s="21" t="s">
        <v>455</v>
      </c>
      <c r="G308" s="21" t="s">
        <v>174</v>
      </c>
      <c r="H308" s="24">
        <v>22.26</v>
      </c>
    </row>
    <row r="309" spans="5:8">
      <c r="E309" s="23">
        <v>41996</v>
      </c>
      <c r="F309" s="21" t="s">
        <v>456</v>
      </c>
      <c r="G309" s="21" t="s">
        <v>123</v>
      </c>
      <c r="H309" s="24">
        <v>75</v>
      </c>
    </row>
    <row r="310" spans="5:8">
      <c r="E310" s="23">
        <v>41996</v>
      </c>
      <c r="F310" s="21" t="s">
        <v>457</v>
      </c>
      <c r="G310" s="21" t="s">
        <v>116</v>
      </c>
      <c r="H310" s="24">
        <v>67.13</v>
      </c>
    </row>
    <row r="311" spans="5:8">
      <c r="E311" s="23">
        <v>41979</v>
      </c>
      <c r="F311" s="21" t="s">
        <v>458</v>
      </c>
      <c r="G311" s="21" t="s">
        <v>130</v>
      </c>
      <c r="H311" s="24">
        <v>22.61</v>
      </c>
    </row>
    <row r="312" spans="5:8">
      <c r="E312" s="23">
        <v>41596</v>
      </c>
      <c r="F312" s="21" t="s">
        <v>459</v>
      </c>
      <c r="G312" s="21" t="s">
        <v>460</v>
      </c>
      <c r="H312" s="24">
        <v>68.849999999999994</v>
      </c>
    </row>
    <row r="313" spans="5:8">
      <c r="E313" s="23">
        <v>41630</v>
      </c>
      <c r="F313" s="21" t="s">
        <v>461</v>
      </c>
      <c r="G313" s="21" t="s">
        <v>159</v>
      </c>
      <c r="H313" s="24">
        <v>32.979999999999997</v>
      </c>
    </row>
    <row r="314" spans="5:8">
      <c r="E314" s="23">
        <v>41632</v>
      </c>
      <c r="F314" s="21" t="s">
        <v>462</v>
      </c>
      <c r="G314" s="21" t="s">
        <v>460</v>
      </c>
      <c r="H314" s="24">
        <v>45.9</v>
      </c>
    </row>
    <row r="315" spans="5:8">
      <c r="E315" s="23">
        <v>41633</v>
      </c>
      <c r="F315" s="21" t="s">
        <v>463</v>
      </c>
      <c r="G315" s="21" t="s">
        <v>113</v>
      </c>
      <c r="H315" s="24">
        <v>22.38</v>
      </c>
    </row>
    <row r="316" spans="5:8">
      <c r="E316" s="23">
        <v>41400</v>
      </c>
      <c r="F316" s="21" t="s">
        <v>464</v>
      </c>
      <c r="G316" s="21" t="s">
        <v>249</v>
      </c>
      <c r="H316" s="24">
        <v>66.3</v>
      </c>
    </row>
    <row r="317" spans="5:8">
      <c r="E317" s="23">
        <v>41837</v>
      </c>
      <c r="F317" s="21" t="s">
        <v>465</v>
      </c>
      <c r="G317" s="21" t="s">
        <v>466</v>
      </c>
      <c r="H317" s="24">
        <v>19.95</v>
      </c>
    </row>
    <row r="318" spans="5:8">
      <c r="E318" s="23">
        <v>41602</v>
      </c>
      <c r="F318" s="21" t="s">
        <v>467</v>
      </c>
      <c r="G318" s="21" t="s">
        <v>202</v>
      </c>
      <c r="H318" s="24">
        <v>483.63</v>
      </c>
    </row>
    <row r="319" spans="5:8">
      <c r="E319" s="23">
        <v>41601</v>
      </c>
      <c r="F319" s="21" t="s">
        <v>468</v>
      </c>
      <c r="G319" s="21" t="s">
        <v>156</v>
      </c>
      <c r="H319" s="24">
        <v>44.52</v>
      </c>
    </row>
    <row r="320" spans="5:8">
      <c r="E320" s="23">
        <v>41630</v>
      </c>
      <c r="F320" s="21" t="s">
        <v>469</v>
      </c>
      <c r="G320" s="21" t="s">
        <v>126</v>
      </c>
      <c r="H320" s="24">
        <v>94</v>
      </c>
    </row>
    <row r="321" spans="5:8">
      <c r="E321" s="23">
        <v>41579</v>
      </c>
      <c r="F321" s="21" t="s">
        <v>470</v>
      </c>
      <c r="G321" s="21" t="s">
        <v>168</v>
      </c>
      <c r="H321" s="24">
        <v>59.85</v>
      </c>
    </row>
    <row r="322" spans="5:8">
      <c r="E322" s="23">
        <v>41961</v>
      </c>
      <c r="F322" s="21" t="s">
        <v>471</v>
      </c>
      <c r="G322" s="21" t="s">
        <v>472</v>
      </c>
      <c r="H322" s="24">
        <v>66.64</v>
      </c>
    </row>
    <row r="323" spans="5:8">
      <c r="E323" s="23">
        <v>41701</v>
      </c>
      <c r="F323" s="21" t="s">
        <v>473</v>
      </c>
      <c r="G323" s="21" t="s">
        <v>222</v>
      </c>
      <c r="H323" s="24">
        <v>19.75</v>
      </c>
    </row>
    <row r="324" spans="5:8">
      <c r="E324" s="23">
        <v>41603</v>
      </c>
      <c r="F324" s="21" t="s">
        <v>474</v>
      </c>
      <c r="G324" s="21" t="s">
        <v>156</v>
      </c>
      <c r="H324" s="24">
        <v>22.61</v>
      </c>
    </row>
    <row r="325" spans="5:8">
      <c r="E325" s="23">
        <v>41594</v>
      </c>
      <c r="F325" s="21" t="s">
        <v>475</v>
      </c>
      <c r="G325" s="21" t="s">
        <v>119</v>
      </c>
      <c r="H325" s="24">
        <v>102</v>
      </c>
    </row>
    <row r="326" spans="5:8">
      <c r="E326" s="23">
        <v>41638</v>
      </c>
      <c r="F326" s="21" t="s">
        <v>476</v>
      </c>
      <c r="G326" s="21" t="s">
        <v>135</v>
      </c>
      <c r="H326" s="24">
        <v>55</v>
      </c>
    </row>
    <row r="327" spans="5:8">
      <c r="E327" s="23">
        <v>41608</v>
      </c>
      <c r="F327" s="21" t="s">
        <v>477</v>
      </c>
      <c r="G327" s="21" t="s">
        <v>460</v>
      </c>
      <c r="H327" s="24">
        <v>98</v>
      </c>
    </row>
    <row r="328" spans="5:8">
      <c r="E328" s="23">
        <v>41980</v>
      </c>
      <c r="F328" s="21" t="s">
        <v>478</v>
      </c>
      <c r="G328" s="21" t="s">
        <v>174</v>
      </c>
      <c r="H328" s="24">
        <v>60</v>
      </c>
    </row>
    <row r="329" spans="5:8">
      <c r="E329" s="23">
        <v>41638</v>
      </c>
      <c r="F329" s="21" t="s">
        <v>479</v>
      </c>
      <c r="G329" s="21" t="s">
        <v>300</v>
      </c>
      <c r="H329" s="24">
        <v>20.37</v>
      </c>
    </row>
    <row r="330" spans="5:8">
      <c r="E330" s="23">
        <v>41619</v>
      </c>
      <c r="F330" s="21" t="s">
        <v>480</v>
      </c>
      <c r="G330" s="21" t="s">
        <v>168</v>
      </c>
      <c r="H330" s="24">
        <v>77.41</v>
      </c>
    </row>
    <row r="331" spans="5:8">
      <c r="E331" s="23">
        <v>41948</v>
      </c>
      <c r="F331" s="21" t="s">
        <v>481</v>
      </c>
      <c r="G331" s="21" t="s">
        <v>106</v>
      </c>
      <c r="H331" s="24">
        <v>38</v>
      </c>
    </row>
    <row r="332" spans="5:8">
      <c r="E332" s="23">
        <v>41619</v>
      </c>
      <c r="F332" s="21" t="s">
        <v>482</v>
      </c>
      <c r="G332" s="21" t="s">
        <v>113</v>
      </c>
      <c r="H332" s="24">
        <v>45.9</v>
      </c>
    </row>
    <row r="333" spans="5:8">
      <c r="E333" s="23">
        <v>41380</v>
      </c>
      <c r="F333" s="21" t="s">
        <v>483</v>
      </c>
      <c r="G333" s="21" t="s">
        <v>126</v>
      </c>
      <c r="H333" s="24">
        <v>20.58</v>
      </c>
    </row>
    <row r="334" spans="5:8">
      <c r="E334" s="23">
        <v>41979</v>
      </c>
      <c r="F334" s="21" t="s">
        <v>484</v>
      </c>
      <c r="G334" s="21" t="s">
        <v>204</v>
      </c>
      <c r="H334" s="24">
        <v>22.95</v>
      </c>
    </row>
    <row r="335" spans="5:8">
      <c r="E335" s="23">
        <v>41962</v>
      </c>
      <c r="F335" s="21" t="s">
        <v>485</v>
      </c>
      <c r="G335" s="21" t="s">
        <v>119</v>
      </c>
      <c r="H335" s="24">
        <v>79.8</v>
      </c>
    </row>
    <row r="336" spans="5:8">
      <c r="E336" s="23">
        <v>41950</v>
      </c>
      <c r="F336" s="21" t="s">
        <v>486</v>
      </c>
      <c r="G336" s="21" t="s">
        <v>188</v>
      </c>
      <c r="H336" s="24">
        <v>268.91000000000003</v>
      </c>
    </row>
    <row r="337" spans="5:8">
      <c r="E337" s="23">
        <v>41946</v>
      </c>
      <c r="F337" s="21" t="s">
        <v>487</v>
      </c>
      <c r="G337" s="21" t="s">
        <v>119</v>
      </c>
      <c r="H337" s="24">
        <v>750</v>
      </c>
    </row>
    <row r="338" spans="5:8">
      <c r="E338" s="23">
        <v>41582</v>
      </c>
      <c r="F338" s="21" t="s">
        <v>488</v>
      </c>
      <c r="G338" s="21" t="s">
        <v>156</v>
      </c>
      <c r="H338" s="24">
        <v>39.9</v>
      </c>
    </row>
    <row r="339" spans="5:8">
      <c r="E339" s="23">
        <v>42003</v>
      </c>
      <c r="F339" s="21" t="s">
        <v>489</v>
      </c>
      <c r="G339" s="21" t="s">
        <v>116</v>
      </c>
      <c r="H339" s="24">
        <v>58.8</v>
      </c>
    </row>
    <row r="340" spans="5:8">
      <c r="E340" s="23">
        <v>41974</v>
      </c>
      <c r="F340" s="21" t="s">
        <v>490</v>
      </c>
      <c r="G340" s="21" t="s">
        <v>119</v>
      </c>
      <c r="H340" s="24">
        <v>45.21</v>
      </c>
    </row>
    <row r="341" spans="5:8">
      <c r="E341" s="23">
        <v>41861</v>
      </c>
      <c r="F341" s="21" t="s">
        <v>491</v>
      </c>
      <c r="G341" s="21" t="s">
        <v>209</v>
      </c>
      <c r="H341" s="24">
        <v>70.5</v>
      </c>
    </row>
    <row r="342" spans="5:8">
      <c r="E342" s="23">
        <v>41970</v>
      </c>
      <c r="F342" s="21" t="s">
        <v>492</v>
      </c>
      <c r="G342" s="21" t="s">
        <v>180</v>
      </c>
      <c r="H342" s="24">
        <v>39.299999999999997</v>
      </c>
    </row>
    <row r="343" spans="5:8">
      <c r="E343" s="23">
        <v>41950</v>
      </c>
      <c r="F343" s="21" t="s">
        <v>493</v>
      </c>
      <c r="G343" s="21" t="s">
        <v>155</v>
      </c>
      <c r="H343" s="24">
        <v>20.69</v>
      </c>
    </row>
    <row r="344" spans="5:8">
      <c r="E344" s="23">
        <v>41617</v>
      </c>
      <c r="F344" s="21" t="s">
        <v>494</v>
      </c>
      <c r="G344" s="21" t="s">
        <v>202</v>
      </c>
      <c r="H344" s="24">
        <v>45.9</v>
      </c>
    </row>
    <row r="345" spans="5:8">
      <c r="E345" s="23">
        <v>41412</v>
      </c>
      <c r="F345" s="21" t="s">
        <v>495</v>
      </c>
      <c r="G345" s="21" t="s">
        <v>202</v>
      </c>
      <c r="H345" s="24">
        <v>45.21</v>
      </c>
    </row>
    <row r="346" spans="5:8">
      <c r="E346" s="23">
        <v>41668</v>
      </c>
      <c r="F346" s="21" t="s">
        <v>496</v>
      </c>
      <c r="G346" s="21" t="s">
        <v>135</v>
      </c>
      <c r="H346" s="24">
        <v>37.049999999999997</v>
      </c>
    </row>
    <row r="347" spans="5:8">
      <c r="E347" s="23">
        <v>41981</v>
      </c>
      <c r="F347" s="21" t="s">
        <v>497</v>
      </c>
      <c r="G347" s="21" t="s">
        <v>174</v>
      </c>
      <c r="H347" s="24">
        <v>33.32</v>
      </c>
    </row>
    <row r="348" spans="5:8">
      <c r="E348" s="23">
        <v>42002</v>
      </c>
      <c r="F348" s="21" t="s">
        <v>498</v>
      </c>
      <c r="G348" s="21" t="s">
        <v>130</v>
      </c>
      <c r="H348" s="24">
        <v>59.85</v>
      </c>
    </row>
    <row r="349" spans="5:8">
      <c r="E349" s="23">
        <v>41737</v>
      </c>
      <c r="F349" s="21" t="s">
        <v>499</v>
      </c>
      <c r="G349" s="21" t="s">
        <v>106</v>
      </c>
      <c r="H349" s="24">
        <v>45.9</v>
      </c>
    </row>
    <row r="350" spans="5:8">
      <c r="E350" s="23">
        <v>41979</v>
      </c>
      <c r="F350" s="21" t="s">
        <v>500</v>
      </c>
      <c r="G350" s="21" t="s">
        <v>149</v>
      </c>
      <c r="H350" s="24">
        <v>53.63</v>
      </c>
    </row>
    <row r="351" spans="5:8">
      <c r="E351" s="23">
        <v>41806</v>
      </c>
      <c r="F351" s="21" t="s">
        <v>501</v>
      </c>
      <c r="G351" s="21" t="s">
        <v>135</v>
      </c>
      <c r="H351" s="24">
        <v>59.1</v>
      </c>
    </row>
    <row r="352" spans="5:8">
      <c r="E352" s="23">
        <v>41481</v>
      </c>
      <c r="F352" s="21" t="s">
        <v>502</v>
      </c>
      <c r="G352" s="21" t="s">
        <v>178</v>
      </c>
      <c r="H352" s="24">
        <v>45.9</v>
      </c>
    </row>
    <row r="353" spans="5:8">
      <c r="E353" s="23">
        <v>41949</v>
      </c>
      <c r="F353" s="21" t="s">
        <v>503</v>
      </c>
      <c r="G353" s="21" t="s">
        <v>106</v>
      </c>
      <c r="H353" s="24">
        <v>22.26</v>
      </c>
    </row>
    <row r="354" spans="5:8">
      <c r="E354" s="23">
        <v>41951</v>
      </c>
      <c r="F354" s="21" t="s">
        <v>504</v>
      </c>
      <c r="G354" s="21" t="s">
        <v>130</v>
      </c>
      <c r="H354" s="24">
        <v>44.98</v>
      </c>
    </row>
    <row r="355" spans="5:8">
      <c r="E355" s="23">
        <v>41602</v>
      </c>
      <c r="F355" s="21" t="s">
        <v>505</v>
      </c>
      <c r="G355" s="21" t="s">
        <v>123</v>
      </c>
      <c r="H355" s="24">
        <v>42</v>
      </c>
    </row>
    <row r="356" spans="5:8">
      <c r="E356" s="23">
        <v>41952</v>
      </c>
      <c r="F356" s="21" t="s">
        <v>506</v>
      </c>
      <c r="G356" s="21" t="s">
        <v>174</v>
      </c>
      <c r="H356" s="24">
        <v>75</v>
      </c>
    </row>
    <row r="357" spans="5:8">
      <c r="E357" s="23">
        <v>41611</v>
      </c>
      <c r="F357" s="21" t="s">
        <v>507</v>
      </c>
      <c r="G357" s="21" t="s">
        <v>156</v>
      </c>
      <c r="H357" s="24">
        <v>50</v>
      </c>
    </row>
    <row r="358" spans="5:8">
      <c r="E358" s="23">
        <v>41947</v>
      </c>
      <c r="F358" s="21" t="s">
        <v>508</v>
      </c>
      <c r="G358" s="21" t="s">
        <v>106</v>
      </c>
      <c r="H358" s="24">
        <v>66.64</v>
      </c>
    </row>
    <row r="359" spans="5:8">
      <c r="E359" s="23">
        <v>41637</v>
      </c>
      <c r="F359" s="21" t="s">
        <v>509</v>
      </c>
      <c r="G359" s="21" t="s">
        <v>106</v>
      </c>
      <c r="H359" s="24">
        <v>100</v>
      </c>
    </row>
    <row r="360" spans="5:8">
      <c r="E360" s="23">
        <v>41998</v>
      </c>
      <c r="F360" s="21" t="s">
        <v>510</v>
      </c>
      <c r="G360" s="21" t="s">
        <v>178</v>
      </c>
      <c r="H360" s="24">
        <v>34</v>
      </c>
    </row>
    <row r="361" spans="5:8">
      <c r="E361" s="23">
        <v>41580</v>
      </c>
      <c r="F361" s="21" t="s">
        <v>511</v>
      </c>
      <c r="G361" s="21" t="s">
        <v>168</v>
      </c>
      <c r="H361" s="24">
        <v>50</v>
      </c>
    </row>
    <row r="362" spans="5:8">
      <c r="E362" s="23">
        <v>41978</v>
      </c>
      <c r="F362" s="21" t="s">
        <v>512</v>
      </c>
      <c r="G362" s="21" t="s">
        <v>135</v>
      </c>
      <c r="H362" s="24">
        <v>468.86</v>
      </c>
    </row>
    <row r="363" spans="5:8">
      <c r="E363" s="23">
        <v>41624</v>
      </c>
      <c r="F363" s="21" t="s">
        <v>513</v>
      </c>
      <c r="G363" s="21" t="s">
        <v>113</v>
      </c>
      <c r="H363" s="24">
        <v>45.44</v>
      </c>
    </row>
    <row r="364" spans="5:8">
      <c r="E364" s="23">
        <v>41593</v>
      </c>
      <c r="F364" s="21" t="s">
        <v>514</v>
      </c>
      <c r="G364" s="21" t="s">
        <v>140</v>
      </c>
      <c r="H364" s="24">
        <v>45.21</v>
      </c>
    </row>
    <row r="365" spans="5:8">
      <c r="E365" s="23">
        <v>41700</v>
      </c>
      <c r="F365" s="21" t="s">
        <v>515</v>
      </c>
      <c r="G365" s="21" t="s">
        <v>123</v>
      </c>
      <c r="H365" s="24">
        <v>68</v>
      </c>
    </row>
    <row r="366" spans="5:8">
      <c r="E366" s="23">
        <v>41600</v>
      </c>
      <c r="F366" s="21" t="s">
        <v>516</v>
      </c>
      <c r="G366" s="21" t="s">
        <v>225</v>
      </c>
      <c r="H366" s="24">
        <v>22.38</v>
      </c>
    </row>
    <row r="367" spans="5:8">
      <c r="E367" s="23">
        <v>41973</v>
      </c>
      <c r="F367" s="21" t="s">
        <v>517</v>
      </c>
      <c r="G367" s="21" t="s">
        <v>140</v>
      </c>
      <c r="H367" s="24">
        <v>38.9</v>
      </c>
    </row>
    <row r="368" spans="5:8">
      <c r="E368" s="23">
        <v>41586</v>
      </c>
      <c r="F368" s="21" t="s">
        <v>518</v>
      </c>
      <c r="G368" s="21" t="s">
        <v>116</v>
      </c>
      <c r="H368" s="24">
        <v>75</v>
      </c>
    </row>
    <row r="369" spans="5:8">
      <c r="E369" s="23">
        <v>41957</v>
      </c>
      <c r="F369" s="21" t="s">
        <v>519</v>
      </c>
      <c r="G369" s="21" t="s">
        <v>249</v>
      </c>
      <c r="H369" s="24">
        <v>88.65</v>
      </c>
    </row>
    <row r="370" spans="5:8">
      <c r="E370" s="23">
        <v>41621</v>
      </c>
      <c r="F370" s="21" t="s">
        <v>520</v>
      </c>
      <c r="G370" s="21" t="s">
        <v>225</v>
      </c>
      <c r="H370" s="24">
        <v>19.95</v>
      </c>
    </row>
    <row r="371" spans="5:8">
      <c r="E371" s="23">
        <v>41954</v>
      </c>
      <c r="F371" s="21" t="s">
        <v>521</v>
      </c>
      <c r="G371" s="21" t="s">
        <v>522</v>
      </c>
      <c r="H371" s="24">
        <v>25</v>
      </c>
    </row>
    <row r="372" spans="5:8">
      <c r="E372" s="23">
        <v>41603</v>
      </c>
      <c r="F372" s="21" t="s">
        <v>523</v>
      </c>
      <c r="G372" s="21" t="s">
        <v>184</v>
      </c>
      <c r="H372" s="24">
        <v>79.95</v>
      </c>
    </row>
    <row r="373" spans="5:8">
      <c r="E373" s="23">
        <v>41965</v>
      </c>
      <c r="F373" s="21" t="s">
        <v>524</v>
      </c>
      <c r="G373" s="21" t="s">
        <v>204</v>
      </c>
      <c r="H373" s="24">
        <v>63</v>
      </c>
    </row>
    <row r="374" spans="5:8">
      <c r="E374" s="23">
        <v>41597</v>
      </c>
      <c r="F374" s="21" t="s">
        <v>525</v>
      </c>
      <c r="G374" s="21" t="s">
        <v>106</v>
      </c>
      <c r="H374" s="24">
        <v>67.819999999999993</v>
      </c>
    </row>
    <row r="375" spans="5:8">
      <c r="E375" s="23">
        <v>41423</v>
      </c>
      <c r="F375" s="21" t="s">
        <v>526</v>
      </c>
      <c r="G375" s="21" t="s">
        <v>174</v>
      </c>
      <c r="H375" s="24">
        <v>48.75</v>
      </c>
    </row>
    <row r="376" spans="5:8">
      <c r="E376" s="23">
        <v>41589</v>
      </c>
      <c r="F376" s="21" t="s">
        <v>527</v>
      </c>
      <c r="G376" s="21" t="s">
        <v>130</v>
      </c>
      <c r="H376" s="24">
        <v>22.95</v>
      </c>
    </row>
    <row r="377" spans="5:8">
      <c r="E377" s="23">
        <v>41332</v>
      </c>
      <c r="F377" s="21" t="s">
        <v>528</v>
      </c>
      <c r="G377" s="21" t="s">
        <v>113</v>
      </c>
      <c r="H377" s="24">
        <v>22.26</v>
      </c>
    </row>
    <row r="378" spans="5:8">
      <c r="E378" s="23">
        <v>41420</v>
      </c>
      <c r="F378" s="21" t="s">
        <v>529</v>
      </c>
      <c r="G378" s="21" t="s">
        <v>184</v>
      </c>
      <c r="H378" s="24">
        <v>45.9</v>
      </c>
    </row>
    <row r="379" spans="5:8">
      <c r="E379" s="23">
        <v>41594</v>
      </c>
      <c r="F379" s="21" t="s">
        <v>530</v>
      </c>
      <c r="G379" s="21" t="s">
        <v>106</v>
      </c>
      <c r="H379" s="24">
        <v>321.3</v>
      </c>
    </row>
    <row r="380" spans="5:8">
      <c r="E380" s="23">
        <v>41602</v>
      </c>
      <c r="F380" s="21" t="s">
        <v>531</v>
      </c>
      <c r="G380" s="21" t="s">
        <v>207</v>
      </c>
      <c r="H380" s="24">
        <v>55</v>
      </c>
    </row>
    <row r="381" spans="5:8">
      <c r="E381" s="23">
        <v>41555</v>
      </c>
      <c r="F381" s="21" t="s">
        <v>532</v>
      </c>
      <c r="G381" s="21" t="s">
        <v>149</v>
      </c>
      <c r="H381" s="24">
        <v>22.61</v>
      </c>
    </row>
    <row r="382" spans="5:8">
      <c r="E382" s="23">
        <v>41438</v>
      </c>
      <c r="F382" s="21" t="s">
        <v>533</v>
      </c>
      <c r="G382" s="21" t="s">
        <v>152</v>
      </c>
      <c r="H382" s="24">
        <v>44.75</v>
      </c>
    </row>
    <row r="383" spans="5:8">
      <c r="E383" s="23">
        <v>41634</v>
      </c>
      <c r="F383" s="21" t="s">
        <v>534</v>
      </c>
      <c r="G383" s="21" t="s">
        <v>188</v>
      </c>
      <c r="H383" s="24">
        <v>20.48</v>
      </c>
    </row>
    <row r="384" spans="5:8">
      <c r="E384" s="23">
        <v>41634</v>
      </c>
      <c r="F384" s="21" t="s">
        <v>535</v>
      </c>
      <c r="G384" s="21" t="s">
        <v>204</v>
      </c>
      <c r="H384" s="24">
        <v>33.49</v>
      </c>
    </row>
    <row r="385" spans="5:8">
      <c r="E385" s="23">
        <v>41614</v>
      </c>
      <c r="F385" s="21" t="s">
        <v>536</v>
      </c>
      <c r="G385" s="21" t="s">
        <v>178</v>
      </c>
      <c r="H385" s="24">
        <v>22.61</v>
      </c>
    </row>
    <row r="386" spans="5:8">
      <c r="E386" s="23">
        <v>41637</v>
      </c>
      <c r="F386" s="21" t="s">
        <v>537</v>
      </c>
      <c r="G386" s="21" t="s">
        <v>472</v>
      </c>
      <c r="H386" s="24">
        <v>44.52</v>
      </c>
    </row>
    <row r="387" spans="5:8">
      <c r="E387" s="23">
        <v>41973</v>
      </c>
      <c r="F387" s="21" t="s">
        <v>538</v>
      </c>
      <c r="G387" s="21" t="s">
        <v>126</v>
      </c>
      <c r="H387" s="24">
        <v>328.98</v>
      </c>
    </row>
    <row r="388" spans="5:8">
      <c r="E388" s="23">
        <v>41956</v>
      </c>
      <c r="F388" s="21" t="s">
        <v>539</v>
      </c>
      <c r="G388" s="21" t="s">
        <v>204</v>
      </c>
      <c r="H388" s="24">
        <v>45.9</v>
      </c>
    </row>
    <row r="389" spans="5:8">
      <c r="E389" s="23">
        <v>41982</v>
      </c>
      <c r="F389" s="21" t="s">
        <v>540</v>
      </c>
      <c r="G389" s="21" t="s">
        <v>140</v>
      </c>
      <c r="H389" s="24">
        <v>84</v>
      </c>
    </row>
    <row r="390" spans="5:8">
      <c r="E390" s="23">
        <v>41622</v>
      </c>
      <c r="F390" s="21" t="s">
        <v>541</v>
      </c>
      <c r="G390" s="21" t="s">
        <v>209</v>
      </c>
      <c r="H390" s="24">
        <v>102</v>
      </c>
    </row>
    <row r="391" spans="5:8">
      <c r="E391" s="23">
        <v>41646</v>
      </c>
      <c r="F391" s="21" t="s">
        <v>542</v>
      </c>
      <c r="G391" s="21" t="s">
        <v>135</v>
      </c>
      <c r="H391" s="24">
        <v>45.9</v>
      </c>
    </row>
    <row r="392" spans="5:8">
      <c r="E392" s="23">
        <v>41605</v>
      </c>
      <c r="F392" s="21" t="s">
        <v>543</v>
      </c>
      <c r="G392" s="21" t="s">
        <v>193</v>
      </c>
      <c r="H392" s="24">
        <v>59.85</v>
      </c>
    </row>
    <row r="393" spans="5:8">
      <c r="E393" s="23">
        <v>41537</v>
      </c>
      <c r="F393" s="21" t="s">
        <v>544</v>
      </c>
      <c r="G393" s="21" t="s">
        <v>222</v>
      </c>
      <c r="H393" s="24">
        <v>24.38</v>
      </c>
    </row>
    <row r="394" spans="5:8">
      <c r="E394" s="23">
        <v>41585</v>
      </c>
      <c r="F394" s="21" t="s">
        <v>545</v>
      </c>
      <c r="G394" s="21" t="s">
        <v>174</v>
      </c>
      <c r="H394" s="24">
        <v>78.75</v>
      </c>
    </row>
    <row r="395" spans="5:8">
      <c r="E395" s="23">
        <v>41627</v>
      </c>
      <c r="F395" s="21" t="s">
        <v>546</v>
      </c>
      <c r="G395" s="21" t="s">
        <v>130</v>
      </c>
      <c r="H395" s="24">
        <v>299.25</v>
      </c>
    </row>
    <row r="396" spans="5:8">
      <c r="E396" s="23">
        <v>41998</v>
      </c>
      <c r="F396" s="21" t="s">
        <v>547</v>
      </c>
      <c r="G396" s="21" t="s">
        <v>123</v>
      </c>
      <c r="H396" s="24">
        <v>59.85</v>
      </c>
    </row>
    <row r="397" spans="5:8">
      <c r="E397" s="23">
        <v>41588</v>
      </c>
      <c r="F397" s="21" t="s">
        <v>548</v>
      </c>
      <c r="G397" s="21" t="s">
        <v>116</v>
      </c>
      <c r="H397" s="24">
        <v>232.65</v>
      </c>
    </row>
    <row r="398" spans="5:8">
      <c r="E398" s="23">
        <v>41984</v>
      </c>
      <c r="F398" s="21" t="s">
        <v>549</v>
      </c>
      <c r="G398" s="21" t="s">
        <v>246</v>
      </c>
      <c r="H398" s="24">
        <v>24.75</v>
      </c>
    </row>
    <row r="399" spans="5:8">
      <c r="E399" s="23">
        <v>41700</v>
      </c>
      <c r="F399" s="21" t="s">
        <v>550</v>
      </c>
      <c r="G399" s="21" t="s">
        <v>135</v>
      </c>
      <c r="H399" s="24">
        <v>19.350000000000001</v>
      </c>
    </row>
    <row r="400" spans="5:8">
      <c r="E400" s="23">
        <v>41952</v>
      </c>
      <c r="F400" s="21" t="s">
        <v>551</v>
      </c>
      <c r="G400" s="21" t="s">
        <v>135</v>
      </c>
      <c r="H400" s="24">
        <v>50</v>
      </c>
    </row>
    <row r="401" spans="5:8">
      <c r="E401" s="23">
        <v>41587</v>
      </c>
      <c r="F401" s="21" t="s">
        <v>552</v>
      </c>
      <c r="G401" s="21" t="s">
        <v>553</v>
      </c>
      <c r="H401" s="24">
        <v>22.49</v>
      </c>
    </row>
    <row r="402" spans="5:8">
      <c r="E402" s="23">
        <v>41584</v>
      </c>
      <c r="F402" s="21" t="s">
        <v>554</v>
      </c>
      <c r="G402" s="21" t="s">
        <v>291</v>
      </c>
      <c r="H402" s="24">
        <v>59.85</v>
      </c>
    </row>
    <row r="403" spans="5:8">
      <c r="E403" s="23">
        <v>41876</v>
      </c>
      <c r="F403" s="21" t="s">
        <v>555</v>
      </c>
      <c r="G403" s="21" t="s">
        <v>113</v>
      </c>
      <c r="H403" s="24">
        <v>68</v>
      </c>
    </row>
    <row r="404" spans="5:8">
      <c r="E404" s="23">
        <v>41976</v>
      </c>
      <c r="F404" s="21" t="s">
        <v>556</v>
      </c>
      <c r="G404" s="21" t="s">
        <v>222</v>
      </c>
      <c r="H404" s="24">
        <v>233.85</v>
      </c>
    </row>
    <row r="405" spans="5:8">
      <c r="E405" s="23">
        <v>41759</v>
      </c>
      <c r="F405" s="21" t="s">
        <v>557</v>
      </c>
      <c r="G405" s="21" t="s">
        <v>113</v>
      </c>
      <c r="H405" s="24">
        <v>90</v>
      </c>
    </row>
    <row r="406" spans="5:8">
      <c r="E406" s="23">
        <v>41761</v>
      </c>
      <c r="F406" s="21" t="s">
        <v>558</v>
      </c>
      <c r="G406" s="21" t="s">
        <v>113</v>
      </c>
      <c r="H406" s="24">
        <v>22.95</v>
      </c>
    </row>
    <row r="407" spans="5:8">
      <c r="E407" s="23">
        <v>41975</v>
      </c>
      <c r="F407" s="21" t="s">
        <v>559</v>
      </c>
      <c r="G407" s="21" t="s">
        <v>135</v>
      </c>
      <c r="H407" s="24">
        <v>540.5</v>
      </c>
    </row>
    <row r="408" spans="5:8">
      <c r="E408" s="23">
        <v>41981</v>
      </c>
      <c r="F408" s="21" t="s">
        <v>560</v>
      </c>
      <c r="G408" s="21" t="s">
        <v>207</v>
      </c>
      <c r="H408" s="24">
        <v>66.3</v>
      </c>
    </row>
    <row r="409" spans="5:8">
      <c r="E409" s="23">
        <v>41623</v>
      </c>
      <c r="F409" s="21" t="s">
        <v>561</v>
      </c>
      <c r="G409" s="21" t="s">
        <v>135</v>
      </c>
      <c r="H409" s="24">
        <v>30</v>
      </c>
    </row>
    <row r="410" spans="5:8">
      <c r="E410" s="23">
        <v>41604</v>
      </c>
      <c r="F410" s="21" t="s">
        <v>562</v>
      </c>
      <c r="G410" s="21" t="s">
        <v>113</v>
      </c>
      <c r="H410" s="24">
        <v>68.849999999999994</v>
      </c>
    </row>
    <row r="411" spans="5:8">
      <c r="E411" s="23">
        <v>41424</v>
      </c>
      <c r="F411" s="21" t="s">
        <v>563</v>
      </c>
      <c r="G411" s="21" t="s">
        <v>156</v>
      </c>
      <c r="H411" s="24">
        <v>37.049999999999997</v>
      </c>
    </row>
    <row r="412" spans="5:8">
      <c r="E412" s="23">
        <v>41601</v>
      </c>
      <c r="F412" s="21" t="s">
        <v>564</v>
      </c>
      <c r="G412" s="21" t="s">
        <v>174</v>
      </c>
      <c r="H412" s="24">
        <v>19.649999999999999</v>
      </c>
    </row>
    <row r="413" spans="5:8">
      <c r="E413" s="23">
        <v>42002</v>
      </c>
      <c r="F413" s="21" t="s">
        <v>565</v>
      </c>
      <c r="G413" s="21" t="s">
        <v>135</v>
      </c>
      <c r="H413" s="24">
        <v>58.5</v>
      </c>
    </row>
    <row r="414" spans="5:8">
      <c r="E414" s="23">
        <v>41997</v>
      </c>
      <c r="F414" s="21" t="s">
        <v>566</v>
      </c>
      <c r="G414" s="21" t="s">
        <v>155</v>
      </c>
      <c r="H414" s="24">
        <v>159.6</v>
      </c>
    </row>
    <row r="415" spans="5:8">
      <c r="E415" s="23">
        <v>41611</v>
      </c>
      <c r="F415" s="21" t="s">
        <v>567</v>
      </c>
      <c r="G415" s="21" t="s">
        <v>162</v>
      </c>
      <c r="H415" s="24">
        <v>24.63</v>
      </c>
    </row>
    <row r="416" spans="5:8">
      <c r="E416" s="23">
        <v>41588</v>
      </c>
      <c r="F416" s="21" t="s">
        <v>568</v>
      </c>
      <c r="G416" s="21" t="s">
        <v>135</v>
      </c>
      <c r="H416" s="24">
        <v>99.96</v>
      </c>
    </row>
    <row r="417" spans="5:8">
      <c r="E417" s="23">
        <v>42000</v>
      </c>
      <c r="F417" s="21" t="s">
        <v>569</v>
      </c>
      <c r="G417" s="21" t="s">
        <v>140</v>
      </c>
      <c r="H417" s="24">
        <v>45.21</v>
      </c>
    </row>
    <row r="418" spans="5:8">
      <c r="E418" s="23">
        <v>41999</v>
      </c>
      <c r="F418" s="21" t="s">
        <v>570</v>
      </c>
      <c r="G418" s="21" t="s">
        <v>202</v>
      </c>
      <c r="H418" s="24">
        <v>90</v>
      </c>
    </row>
    <row r="419" spans="5:8">
      <c r="E419" s="23">
        <v>41601</v>
      </c>
      <c r="F419" s="21" t="s">
        <v>571</v>
      </c>
      <c r="G419" s="21" t="s">
        <v>113</v>
      </c>
      <c r="H419" s="24">
        <v>114.75</v>
      </c>
    </row>
    <row r="420" spans="5:8">
      <c r="E420" s="23">
        <v>41524</v>
      </c>
      <c r="F420" s="21" t="s">
        <v>572</v>
      </c>
      <c r="G420" s="21" t="s">
        <v>174</v>
      </c>
      <c r="H420" s="24">
        <v>536.25</v>
      </c>
    </row>
    <row r="421" spans="5:8">
      <c r="E421" s="23">
        <v>41493</v>
      </c>
      <c r="F421" s="21" t="s">
        <v>573</v>
      </c>
      <c r="G421" s="21" t="s">
        <v>156</v>
      </c>
      <c r="H421" s="24">
        <v>41.16</v>
      </c>
    </row>
    <row r="422" spans="5:8">
      <c r="E422" s="23">
        <v>41750</v>
      </c>
      <c r="F422" s="21" t="s">
        <v>574</v>
      </c>
      <c r="G422" s="21" t="s">
        <v>204</v>
      </c>
      <c r="H422" s="24">
        <v>226.06</v>
      </c>
    </row>
    <row r="423" spans="5:8">
      <c r="E423" s="23">
        <v>41978</v>
      </c>
      <c r="F423" s="21" t="s">
        <v>575</v>
      </c>
      <c r="G423" s="21" t="s">
        <v>106</v>
      </c>
      <c r="H423" s="24">
        <v>75</v>
      </c>
    </row>
    <row r="424" spans="5:8">
      <c r="E424" s="23">
        <v>41300</v>
      </c>
      <c r="F424" s="21" t="s">
        <v>576</v>
      </c>
      <c r="G424" s="21" t="s">
        <v>156</v>
      </c>
      <c r="H424" s="24">
        <v>49.25</v>
      </c>
    </row>
    <row r="425" spans="5:8">
      <c r="E425" s="23">
        <v>41585</v>
      </c>
      <c r="F425" s="21" t="s">
        <v>577</v>
      </c>
      <c r="G425" s="21" t="s">
        <v>222</v>
      </c>
      <c r="H425" s="24">
        <v>19.95</v>
      </c>
    </row>
    <row r="426" spans="5:8">
      <c r="E426" s="23">
        <v>41605</v>
      </c>
      <c r="F426" s="21" t="s">
        <v>578</v>
      </c>
      <c r="G426" s="21" t="s">
        <v>109</v>
      </c>
      <c r="H426" s="24">
        <v>232.65</v>
      </c>
    </row>
    <row r="427" spans="5:8">
      <c r="E427" s="23">
        <v>41386</v>
      </c>
      <c r="F427" s="21" t="s">
        <v>579</v>
      </c>
      <c r="G427" s="21" t="s">
        <v>155</v>
      </c>
      <c r="H427" s="24">
        <v>36.86</v>
      </c>
    </row>
    <row r="428" spans="5:8">
      <c r="E428" s="23">
        <v>41976</v>
      </c>
      <c r="F428" s="21" t="s">
        <v>580</v>
      </c>
      <c r="G428" s="21" t="s">
        <v>116</v>
      </c>
      <c r="H428" s="24">
        <v>879.45</v>
      </c>
    </row>
    <row r="429" spans="5:8">
      <c r="E429" s="23">
        <v>41967</v>
      </c>
      <c r="F429" s="21" t="s">
        <v>581</v>
      </c>
      <c r="G429" s="21" t="s">
        <v>130</v>
      </c>
      <c r="H429" s="24">
        <v>90</v>
      </c>
    </row>
    <row r="430" spans="5:8">
      <c r="E430" s="23">
        <v>41988</v>
      </c>
      <c r="F430" s="21" t="s">
        <v>582</v>
      </c>
      <c r="G430" s="21" t="s">
        <v>365</v>
      </c>
      <c r="H430" s="24">
        <v>38.9</v>
      </c>
    </row>
    <row r="431" spans="5:8">
      <c r="E431" s="23">
        <v>41621</v>
      </c>
      <c r="F431" s="21" t="s">
        <v>583</v>
      </c>
      <c r="G431" s="21" t="s">
        <v>106</v>
      </c>
      <c r="H431" s="24">
        <v>58.65</v>
      </c>
    </row>
    <row r="432" spans="5:8">
      <c r="E432" s="23">
        <v>41973</v>
      </c>
      <c r="F432" s="21" t="s">
        <v>584</v>
      </c>
      <c r="G432" s="21" t="s">
        <v>186</v>
      </c>
      <c r="H432" s="24">
        <v>41.16</v>
      </c>
    </row>
    <row r="433" spans="5:8">
      <c r="E433" s="23">
        <v>41600</v>
      </c>
      <c r="F433" s="21" t="s">
        <v>585</v>
      </c>
      <c r="G433" s="21" t="s">
        <v>209</v>
      </c>
      <c r="H433" s="24">
        <v>313.27</v>
      </c>
    </row>
    <row r="434" spans="5:8">
      <c r="E434" s="23">
        <v>41609</v>
      </c>
      <c r="F434" s="21" t="s">
        <v>586</v>
      </c>
      <c r="G434" s="21" t="s">
        <v>113</v>
      </c>
      <c r="H434" s="24">
        <v>19.649999999999999</v>
      </c>
    </row>
    <row r="435" spans="5:8">
      <c r="E435" s="23">
        <v>41311</v>
      </c>
      <c r="F435" s="21" t="s">
        <v>587</v>
      </c>
      <c r="G435" s="21" t="s">
        <v>126</v>
      </c>
      <c r="H435" s="24">
        <v>100.98</v>
      </c>
    </row>
    <row r="436" spans="5:8">
      <c r="E436" s="23">
        <v>41589</v>
      </c>
      <c r="F436" s="21" t="s">
        <v>588</v>
      </c>
      <c r="G436" s="21" t="s">
        <v>113</v>
      </c>
      <c r="H436" s="24">
        <v>33.32</v>
      </c>
    </row>
    <row r="437" spans="5:8">
      <c r="E437" s="23">
        <v>41623</v>
      </c>
      <c r="F437" s="21" t="s">
        <v>589</v>
      </c>
      <c r="G437" s="21" t="s">
        <v>186</v>
      </c>
      <c r="H437" s="24">
        <v>67.47</v>
      </c>
    </row>
    <row r="438" spans="5:8">
      <c r="E438" s="23">
        <v>41990</v>
      </c>
      <c r="F438" s="21" t="s">
        <v>590</v>
      </c>
      <c r="G438" s="21" t="s">
        <v>140</v>
      </c>
      <c r="H438" s="24">
        <v>59.85</v>
      </c>
    </row>
    <row r="439" spans="5:8">
      <c r="E439" s="23">
        <v>41599</v>
      </c>
      <c r="F439" s="21" t="s">
        <v>591</v>
      </c>
      <c r="G439" s="21" t="s">
        <v>123</v>
      </c>
      <c r="H439" s="24">
        <v>22.95</v>
      </c>
    </row>
    <row r="440" spans="5:8">
      <c r="E440" s="23">
        <v>41593</v>
      </c>
      <c r="F440" s="21" t="s">
        <v>592</v>
      </c>
      <c r="G440" s="21" t="s">
        <v>106</v>
      </c>
      <c r="H440" s="24">
        <v>45.59</v>
      </c>
    </row>
    <row r="441" spans="5:8">
      <c r="E441" s="23">
        <v>41613</v>
      </c>
      <c r="F441" s="21" t="s">
        <v>593</v>
      </c>
      <c r="G441" s="21" t="s">
        <v>106</v>
      </c>
      <c r="H441" s="24">
        <v>42</v>
      </c>
    </row>
    <row r="442" spans="5:8">
      <c r="E442" s="23">
        <v>41867</v>
      </c>
      <c r="F442" s="21" t="s">
        <v>594</v>
      </c>
      <c r="G442" s="21" t="s">
        <v>186</v>
      </c>
      <c r="H442" s="24">
        <v>50</v>
      </c>
    </row>
    <row r="443" spans="5:8">
      <c r="E443" s="23">
        <v>41633</v>
      </c>
      <c r="F443" s="21" t="s">
        <v>595</v>
      </c>
      <c r="G443" s="21" t="s">
        <v>116</v>
      </c>
      <c r="H443" s="24">
        <v>50</v>
      </c>
    </row>
    <row r="444" spans="5:8">
      <c r="E444" s="23">
        <v>41353</v>
      </c>
      <c r="F444" s="21" t="s">
        <v>596</v>
      </c>
      <c r="G444" s="21" t="s">
        <v>113</v>
      </c>
      <c r="H444" s="24">
        <v>33.49</v>
      </c>
    </row>
    <row r="445" spans="5:8">
      <c r="E445" s="23">
        <v>41331</v>
      </c>
      <c r="F445" s="21" t="s">
        <v>597</v>
      </c>
      <c r="G445" s="21" t="s">
        <v>204</v>
      </c>
      <c r="H445" s="24">
        <v>500</v>
      </c>
    </row>
    <row r="446" spans="5:8">
      <c r="E446" s="23">
        <v>41962</v>
      </c>
      <c r="F446" s="21" t="s">
        <v>598</v>
      </c>
      <c r="G446" s="21" t="s">
        <v>204</v>
      </c>
      <c r="H446" s="24">
        <v>45.21</v>
      </c>
    </row>
    <row r="447" spans="5:8">
      <c r="E447" s="23">
        <v>41756</v>
      </c>
      <c r="F447" s="21" t="s">
        <v>599</v>
      </c>
      <c r="G447" s="21" t="s">
        <v>203</v>
      </c>
      <c r="H447" s="24">
        <v>68</v>
      </c>
    </row>
    <row r="448" spans="5:8">
      <c r="E448" s="23">
        <v>41412</v>
      </c>
      <c r="F448" s="21" t="s">
        <v>600</v>
      </c>
      <c r="G448" s="21" t="s">
        <v>209</v>
      </c>
      <c r="H448" s="24">
        <v>82.74</v>
      </c>
    </row>
    <row r="449" spans="5:8">
      <c r="E449" s="23">
        <v>41897</v>
      </c>
      <c r="F449" s="21" t="s">
        <v>601</v>
      </c>
      <c r="G449" s="21" t="s">
        <v>123</v>
      </c>
      <c r="H449" s="24">
        <v>68.16</v>
      </c>
    </row>
    <row r="450" spans="5:8">
      <c r="E450" s="23">
        <v>41635</v>
      </c>
      <c r="F450" s="21" t="s">
        <v>602</v>
      </c>
      <c r="G450" s="21" t="s">
        <v>109</v>
      </c>
      <c r="H450" s="24">
        <v>22.38</v>
      </c>
    </row>
    <row r="451" spans="5:8">
      <c r="E451" s="23">
        <v>41605</v>
      </c>
      <c r="F451" s="21" t="s">
        <v>603</v>
      </c>
      <c r="G451" s="21" t="s">
        <v>119</v>
      </c>
      <c r="H451" s="24">
        <v>47</v>
      </c>
    </row>
    <row r="452" spans="5:8">
      <c r="E452" s="23">
        <v>41628</v>
      </c>
      <c r="F452" s="21" t="s">
        <v>604</v>
      </c>
      <c r="G452" s="21" t="s">
        <v>143</v>
      </c>
      <c r="H452" s="24">
        <v>69.8</v>
      </c>
    </row>
    <row r="453" spans="5:8">
      <c r="E453" s="23">
        <v>41372</v>
      </c>
      <c r="F453" s="21" t="s">
        <v>605</v>
      </c>
      <c r="G453" s="21" t="s">
        <v>193</v>
      </c>
      <c r="H453" s="24">
        <v>22.72</v>
      </c>
    </row>
    <row r="454" spans="5:8">
      <c r="E454" s="23">
        <v>41997</v>
      </c>
      <c r="F454" s="21" t="s">
        <v>606</v>
      </c>
      <c r="G454" s="21" t="s">
        <v>126</v>
      </c>
      <c r="H454" s="24">
        <v>30</v>
      </c>
    </row>
    <row r="455" spans="5:8">
      <c r="E455" s="23">
        <v>41597</v>
      </c>
      <c r="F455" s="21" t="s">
        <v>607</v>
      </c>
      <c r="G455" s="21" t="s">
        <v>130</v>
      </c>
      <c r="H455" s="24">
        <v>134.63999999999999</v>
      </c>
    </row>
    <row r="456" spans="5:8">
      <c r="E456" s="23">
        <v>41607</v>
      </c>
      <c r="F456" s="21" t="s">
        <v>608</v>
      </c>
      <c r="G456" s="21" t="s">
        <v>246</v>
      </c>
      <c r="H456" s="24">
        <v>22.95</v>
      </c>
    </row>
    <row r="457" spans="5:8">
      <c r="E457" s="23">
        <v>41580</v>
      </c>
      <c r="F457" s="21" t="s">
        <v>609</v>
      </c>
      <c r="G457" s="21" t="s">
        <v>203</v>
      </c>
      <c r="H457" s="24">
        <v>235.2</v>
      </c>
    </row>
    <row r="458" spans="5:8">
      <c r="E458" s="23">
        <v>41621</v>
      </c>
      <c r="F458" s="21" t="s">
        <v>610</v>
      </c>
      <c r="G458" s="21" t="s">
        <v>225</v>
      </c>
      <c r="H458" s="24">
        <v>44.75</v>
      </c>
    </row>
    <row r="459" spans="5:8">
      <c r="E459" s="23">
        <v>41844</v>
      </c>
      <c r="F459" s="21" t="s">
        <v>611</v>
      </c>
      <c r="G459" s="21" t="s">
        <v>300</v>
      </c>
      <c r="H459" s="24">
        <v>49</v>
      </c>
    </row>
    <row r="460" spans="5:8">
      <c r="E460" s="23">
        <v>41614</v>
      </c>
      <c r="F460" s="21" t="s">
        <v>612</v>
      </c>
      <c r="G460" s="21" t="s">
        <v>113</v>
      </c>
      <c r="H460" s="24">
        <v>32.979999999999997</v>
      </c>
    </row>
    <row r="461" spans="5:8">
      <c r="E461" s="23">
        <v>41421</v>
      </c>
      <c r="F461" s="21" t="s">
        <v>613</v>
      </c>
      <c r="G461" s="21" t="s">
        <v>140</v>
      </c>
      <c r="H461" s="24">
        <v>75</v>
      </c>
    </row>
    <row r="462" spans="5:8">
      <c r="E462" s="23">
        <v>41609</v>
      </c>
      <c r="F462" s="21" t="s">
        <v>614</v>
      </c>
      <c r="G462" s="21" t="s">
        <v>174</v>
      </c>
      <c r="H462" s="24">
        <v>68</v>
      </c>
    </row>
    <row r="463" spans="5:8">
      <c r="E463" s="23">
        <v>41631</v>
      </c>
      <c r="F463" s="21" t="s">
        <v>615</v>
      </c>
      <c r="G463" s="21" t="s">
        <v>204</v>
      </c>
      <c r="H463" s="24">
        <v>75</v>
      </c>
    </row>
    <row r="464" spans="5:8">
      <c r="E464" s="23">
        <v>41625</v>
      </c>
      <c r="F464" s="21" t="s">
        <v>616</v>
      </c>
      <c r="G464" s="21" t="s">
        <v>472</v>
      </c>
      <c r="H464" s="24">
        <v>511.83</v>
      </c>
    </row>
    <row r="465" spans="5:8">
      <c r="E465" s="23">
        <v>41976</v>
      </c>
      <c r="F465" s="21" t="s">
        <v>617</v>
      </c>
      <c r="G465" s="21" t="s">
        <v>159</v>
      </c>
      <c r="H465" s="24">
        <v>59.85</v>
      </c>
    </row>
    <row r="466" spans="5:8">
      <c r="E466" s="23">
        <v>42000</v>
      </c>
      <c r="F466" s="21" t="s">
        <v>618</v>
      </c>
      <c r="G466" s="21" t="s">
        <v>106</v>
      </c>
      <c r="H466" s="24">
        <v>34</v>
      </c>
    </row>
    <row r="467" spans="5:8">
      <c r="E467" s="23">
        <v>41977</v>
      </c>
      <c r="F467" s="21" t="s">
        <v>619</v>
      </c>
      <c r="G467" s="21" t="s">
        <v>140</v>
      </c>
      <c r="H467" s="24">
        <v>19.649999999999999</v>
      </c>
    </row>
    <row r="468" spans="5:8">
      <c r="E468" s="23">
        <v>41968</v>
      </c>
      <c r="F468" s="21" t="s">
        <v>620</v>
      </c>
      <c r="G468" s="21" t="s">
        <v>123</v>
      </c>
      <c r="H468" s="24">
        <v>39.9</v>
      </c>
    </row>
    <row r="469" spans="5:8">
      <c r="E469" s="23">
        <v>41614</v>
      </c>
      <c r="F469" s="21" t="s">
        <v>621</v>
      </c>
      <c r="G469" s="21" t="s">
        <v>113</v>
      </c>
      <c r="H469" s="24">
        <v>46.06</v>
      </c>
    </row>
    <row r="470" spans="5:8">
      <c r="E470" s="23">
        <v>41599</v>
      </c>
      <c r="F470" s="21" t="s">
        <v>622</v>
      </c>
      <c r="G470" s="21" t="s">
        <v>203</v>
      </c>
      <c r="H470" s="24">
        <v>79.8</v>
      </c>
    </row>
    <row r="471" spans="5:8">
      <c r="E471" s="23">
        <v>41958</v>
      </c>
      <c r="F471" s="21" t="s">
        <v>623</v>
      </c>
      <c r="G471" s="21" t="s">
        <v>225</v>
      </c>
      <c r="H471" s="24">
        <v>99.96</v>
      </c>
    </row>
    <row r="472" spans="5:8">
      <c r="E472" s="23">
        <v>41698</v>
      </c>
      <c r="F472" s="21" t="s">
        <v>624</v>
      </c>
      <c r="G472" s="21" t="s">
        <v>222</v>
      </c>
      <c r="H472" s="24">
        <v>239.85</v>
      </c>
    </row>
    <row r="473" spans="5:8">
      <c r="E473" s="23">
        <v>41934</v>
      </c>
      <c r="F473" s="21" t="s">
        <v>625</v>
      </c>
      <c r="G473" s="21" t="s">
        <v>204</v>
      </c>
      <c r="H473" s="24">
        <v>63</v>
      </c>
    </row>
    <row r="474" spans="5:8">
      <c r="E474" s="23">
        <v>41974</v>
      </c>
      <c r="F474" s="21" t="s">
        <v>626</v>
      </c>
      <c r="G474" s="21" t="s">
        <v>113</v>
      </c>
      <c r="H474" s="24">
        <v>33.49</v>
      </c>
    </row>
    <row r="475" spans="5:8">
      <c r="E475" s="23">
        <v>41638</v>
      </c>
      <c r="F475" s="21" t="s">
        <v>627</v>
      </c>
      <c r="G475" s="21" t="s">
        <v>225</v>
      </c>
      <c r="H475" s="24">
        <v>24.5</v>
      </c>
    </row>
    <row r="476" spans="5:8">
      <c r="E476" s="23">
        <v>41547</v>
      </c>
      <c r="F476" s="21" t="s">
        <v>628</v>
      </c>
      <c r="G476" s="21" t="s">
        <v>106</v>
      </c>
      <c r="H476" s="24">
        <v>102</v>
      </c>
    </row>
    <row r="477" spans="5:8">
      <c r="E477" s="23">
        <v>41636</v>
      </c>
      <c r="F477" s="21" t="s">
        <v>629</v>
      </c>
      <c r="G477" s="21" t="s">
        <v>156</v>
      </c>
      <c r="H477" s="24">
        <v>63</v>
      </c>
    </row>
    <row r="478" spans="5:8">
      <c r="E478" s="23">
        <v>41560</v>
      </c>
      <c r="F478" s="21" t="s">
        <v>630</v>
      </c>
      <c r="G478" s="21" t="s">
        <v>135</v>
      </c>
      <c r="H478" s="24">
        <v>66.98</v>
      </c>
    </row>
    <row r="479" spans="5:8">
      <c r="E479" s="23">
        <v>41625</v>
      </c>
      <c r="F479" s="21" t="s">
        <v>631</v>
      </c>
      <c r="G479" s="21" t="s">
        <v>370</v>
      </c>
      <c r="H479" s="24">
        <v>22.61</v>
      </c>
    </row>
    <row r="480" spans="5:8">
      <c r="E480" s="23">
        <v>41968</v>
      </c>
      <c r="F480" s="21" t="s">
        <v>632</v>
      </c>
      <c r="G480" s="21" t="s">
        <v>184</v>
      </c>
      <c r="H480" s="24">
        <v>89.1</v>
      </c>
    </row>
    <row r="481" spans="5:8">
      <c r="E481" s="23">
        <v>41415</v>
      </c>
      <c r="F481" s="21" t="s">
        <v>633</v>
      </c>
      <c r="G481" s="21" t="s">
        <v>135</v>
      </c>
      <c r="H481" s="24">
        <v>102</v>
      </c>
    </row>
    <row r="482" spans="5:8">
      <c r="E482" s="23">
        <v>41596</v>
      </c>
      <c r="F482" s="21" t="s">
        <v>634</v>
      </c>
      <c r="G482" s="21" t="s">
        <v>113</v>
      </c>
      <c r="H482" s="24">
        <v>67.819999999999993</v>
      </c>
    </row>
    <row r="483" spans="5:8">
      <c r="E483" s="23">
        <v>41706</v>
      </c>
      <c r="F483" s="21" t="s">
        <v>635</v>
      </c>
      <c r="G483" s="21" t="s">
        <v>207</v>
      </c>
      <c r="H483" s="24">
        <v>74.25</v>
      </c>
    </row>
    <row r="484" spans="5:8">
      <c r="E484" s="23">
        <v>41660</v>
      </c>
      <c r="F484" s="21" t="s">
        <v>636</v>
      </c>
      <c r="G484" s="21" t="s">
        <v>116</v>
      </c>
      <c r="H484" s="24">
        <v>566.38</v>
      </c>
    </row>
    <row r="485" spans="5:8">
      <c r="E485" s="23">
        <v>41471</v>
      </c>
      <c r="F485" s="21" t="s">
        <v>637</v>
      </c>
      <c r="G485" s="21" t="s">
        <v>186</v>
      </c>
      <c r="H485" s="24">
        <v>45.9</v>
      </c>
    </row>
    <row r="486" spans="5:8">
      <c r="E486" s="23">
        <v>41450</v>
      </c>
      <c r="F486" s="21" t="s">
        <v>638</v>
      </c>
      <c r="G486" s="21" t="s">
        <v>123</v>
      </c>
      <c r="H486" s="24">
        <v>110</v>
      </c>
    </row>
    <row r="487" spans="5:8">
      <c r="E487" s="23">
        <v>41999</v>
      </c>
      <c r="F487" s="21" t="s">
        <v>639</v>
      </c>
      <c r="G487" s="21" t="s">
        <v>159</v>
      </c>
      <c r="H487" s="24">
        <v>37.43</v>
      </c>
    </row>
    <row r="488" spans="5:8">
      <c r="E488" s="23">
        <v>41614</v>
      </c>
      <c r="F488" s="21" t="s">
        <v>640</v>
      </c>
      <c r="G488" s="21" t="s">
        <v>300</v>
      </c>
      <c r="H488" s="24">
        <v>98.94</v>
      </c>
    </row>
    <row r="489" spans="5:8">
      <c r="E489" s="23">
        <v>41999</v>
      </c>
      <c r="F489" s="21" t="s">
        <v>641</v>
      </c>
      <c r="G489" s="21" t="s">
        <v>106</v>
      </c>
      <c r="H489" s="24">
        <v>45.9</v>
      </c>
    </row>
    <row r="490" spans="5:8">
      <c r="E490" s="23">
        <v>41692</v>
      </c>
      <c r="F490" s="21" t="s">
        <v>642</v>
      </c>
      <c r="G490" s="21" t="s">
        <v>103</v>
      </c>
      <c r="H490" s="24">
        <v>27.23</v>
      </c>
    </row>
    <row r="491" spans="5:8">
      <c r="E491" s="23">
        <v>41976</v>
      </c>
      <c r="F491" s="21" t="s">
        <v>643</v>
      </c>
      <c r="G491" s="21" t="s">
        <v>119</v>
      </c>
      <c r="H491" s="24">
        <v>438.9</v>
      </c>
    </row>
    <row r="492" spans="5:8">
      <c r="E492" s="25">
        <v>41601</v>
      </c>
      <c r="F492" s="22" t="s">
        <v>644</v>
      </c>
      <c r="G492" s="22" t="s">
        <v>140</v>
      </c>
      <c r="H492" s="24">
        <v>816</v>
      </c>
    </row>
  </sheetData>
  <mergeCells count="2">
    <mergeCell ref="B2:C3"/>
    <mergeCell ref="E2:H3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027-B365-486A-80B2-003E36CA3B73}">
  <dimension ref="A1:I1468"/>
  <sheetViews>
    <sheetView workbookViewId="0">
      <selection activeCell="I14" sqref="I14"/>
    </sheetView>
  </sheetViews>
  <sheetFormatPr defaultColWidth="8.90625" defaultRowHeight="16.5"/>
  <cols>
    <col min="1" max="1" width="16.36328125" style="17" bestFit="1" customWidth="1"/>
    <col min="2" max="2" width="9.453125" style="17" bestFit="1" customWidth="1"/>
    <col min="3" max="3" width="18.36328125" style="17" customWidth="1"/>
    <col min="4" max="4" width="11.36328125" style="17" bestFit="1" customWidth="1"/>
    <col min="5" max="5" width="8.90625" style="17"/>
    <col min="6" max="6" width="11.453125" style="17" bestFit="1" customWidth="1"/>
    <col min="7" max="7" width="20.36328125" style="17" bestFit="1" customWidth="1"/>
    <col min="8" max="8" width="16.36328125" style="17" bestFit="1" customWidth="1"/>
    <col min="9" max="9" width="11.6328125" style="17" bestFit="1" customWidth="1"/>
    <col min="10" max="16384" width="8.90625" style="17"/>
  </cols>
  <sheetData>
    <row r="1" spans="1:9">
      <c r="A1" s="61" t="s">
        <v>98</v>
      </c>
      <c r="B1" s="62"/>
      <c r="C1" s="62"/>
      <c r="D1" s="62"/>
      <c r="F1" s="61" t="s">
        <v>99</v>
      </c>
      <c r="G1" s="62"/>
      <c r="H1" s="62"/>
      <c r="I1" s="62"/>
    </row>
    <row r="2" spans="1:9">
      <c r="A2" s="62"/>
      <c r="B2" s="62"/>
      <c r="C2" s="62"/>
      <c r="D2" s="62"/>
      <c r="F2" s="62"/>
      <c r="G2" s="62"/>
      <c r="H2" s="62"/>
      <c r="I2" s="62"/>
    </row>
    <row r="4" spans="1:9">
      <c r="A4" s="26" t="s">
        <v>7</v>
      </c>
      <c r="B4" s="26" t="s">
        <v>8</v>
      </c>
      <c r="C4" s="26" t="s">
        <v>645</v>
      </c>
      <c r="D4" s="26" t="s">
        <v>646</v>
      </c>
      <c r="F4" s="26" t="s">
        <v>8</v>
      </c>
      <c r="G4" s="27" t="s">
        <v>647</v>
      </c>
      <c r="H4" s="27" t="s">
        <v>7</v>
      </c>
      <c r="I4" s="28" t="s">
        <v>5</v>
      </c>
    </row>
    <row r="5" spans="1:9">
      <c r="A5" s="17" t="s">
        <v>648</v>
      </c>
      <c r="B5" s="17" t="s">
        <v>10</v>
      </c>
      <c r="C5" s="17" t="s">
        <v>649</v>
      </c>
      <c r="D5" s="17">
        <v>0.1</v>
      </c>
      <c r="F5" s="29" t="s">
        <v>10</v>
      </c>
      <c r="G5" s="30" t="s">
        <v>649</v>
      </c>
      <c r="H5" s="30" t="s">
        <v>650</v>
      </c>
      <c r="I5" s="31">
        <v>500</v>
      </c>
    </row>
    <row r="6" spans="1:9">
      <c r="A6" s="17" t="s">
        <v>650</v>
      </c>
      <c r="B6" s="17" t="s">
        <v>10</v>
      </c>
      <c r="C6" s="17" t="s">
        <v>649</v>
      </c>
      <c r="D6" s="17">
        <v>0.3</v>
      </c>
      <c r="F6" s="29" t="s">
        <v>10</v>
      </c>
      <c r="G6" s="30" t="s">
        <v>649</v>
      </c>
      <c r="H6" s="30" t="s">
        <v>650</v>
      </c>
      <c r="I6" s="31">
        <v>700</v>
      </c>
    </row>
    <row r="7" spans="1:9">
      <c r="A7" s="17" t="s">
        <v>651</v>
      </c>
      <c r="B7" s="17" t="s">
        <v>10</v>
      </c>
      <c r="C7" s="17" t="s">
        <v>649</v>
      </c>
      <c r="D7" s="17">
        <v>7.6999999999999999E-2</v>
      </c>
      <c r="F7" s="29" t="s">
        <v>10</v>
      </c>
      <c r="G7" s="30" t="s">
        <v>652</v>
      </c>
      <c r="H7" s="30" t="s">
        <v>653</v>
      </c>
      <c r="I7" s="31">
        <v>8442</v>
      </c>
    </row>
    <row r="8" spans="1:9">
      <c r="A8" s="17" t="s">
        <v>654</v>
      </c>
      <c r="B8" s="17" t="s">
        <v>10</v>
      </c>
      <c r="C8" s="17" t="s">
        <v>652</v>
      </c>
      <c r="D8" s="17">
        <v>9.9000000000000005E-2</v>
      </c>
      <c r="F8" s="29" t="s">
        <v>111</v>
      </c>
      <c r="G8" s="30" t="s">
        <v>649</v>
      </c>
      <c r="H8" s="30" t="s">
        <v>655</v>
      </c>
      <c r="I8" s="31">
        <v>3816</v>
      </c>
    </row>
    <row r="9" spans="1:9">
      <c r="A9" s="17" t="s">
        <v>653</v>
      </c>
      <c r="B9" s="17" t="s">
        <v>10</v>
      </c>
      <c r="C9" s="17" t="s">
        <v>652</v>
      </c>
      <c r="D9" s="17">
        <v>0.14699999999999999</v>
      </c>
      <c r="F9" s="29" t="s">
        <v>16</v>
      </c>
      <c r="G9" s="30" t="s">
        <v>652</v>
      </c>
      <c r="H9" s="30" t="s">
        <v>654</v>
      </c>
      <c r="I9" s="31">
        <v>6903</v>
      </c>
    </row>
    <row r="10" spans="1:9">
      <c r="A10" s="17" t="s">
        <v>656</v>
      </c>
      <c r="B10" s="17" t="s">
        <v>10</v>
      </c>
      <c r="C10" s="17" t="s">
        <v>652</v>
      </c>
      <c r="D10" s="17">
        <v>0.14599999999999999</v>
      </c>
      <c r="F10" s="29" t="s">
        <v>14</v>
      </c>
      <c r="G10" s="30" t="s">
        <v>657</v>
      </c>
      <c r="H10" s="30" t="s">
        <v>658</v>
      </c>
      <c r="I10" s="31">
        <v>623</v>
      </c>
    </row>
    <row r="11" spans="1:9">
      <c r="A11" s="17" t="s">
        <v>654</v>
      </c>
      <c r="B11" s="17" t="s">
        <v>10</v>
      </c>
      <c r="C11" s="17" t="s">
        <v>659</v>
      </c>
      <c r="D11" s="17">
        <v>0.14499999999999999</v>
      </c>
      <c r="F11" s="29" t="s">
        <v>10</v>
      </c>
      <c r="G11" s="30" t="s">
        <v>660</v>
      </c>
      <c r="H11" s="30" t="s">
        <v>661</v>
      </c>
      <c r="I11" s="31">
        <v>6985</v>
      </c>
    </row>
    <row r="12" spans="1:9">
      <c r="A12" s="17" t="s">
        <v>655</v>
      </c>
      <c r="B12" s="17" t="s">
        <v>10</v>
      </c>
      <c r="C12" s="17" t="s">
        <v>659</v>
      </c>
      <c r="D12" s="17">
        <v>0.16700000000000001</v>
      </c>
      <c r="F12" s="29" t="s">
        <v>16</v>
      </c>
      <c r="G12" s="30" t="s">
        <v>662</v>
      </c>
      <c r="H12" s="30" t="s">
        <v>663</v>
      </c>
      <c r="I12" s="31">
        <v>7537</v>
      </c>
    </row>
    <row r="13" spans="1:9">
      <c r="A13" s="17" t="s">
        <v>661</v>
      </c>
      <c r="B13" s="17" t="s">
        <v>10</v>
      </c>
      <c r="C13" s="17" t="s">
        <v>659</v>
      </c>
      <c r="D13" s="17">
        <v>0.14399999999999999</v>
      </c>
      <c r="F13" s="29" t="s">
        <v>14</v>
      </c>
      <c r="G13" s="30" t="s">
        <v>652</v>
      </c>
      <c r="H13" s="30" t="s">
        <v>654</v>
      </c>
      <c r="I13" s="31">
        <v>570</v>
      </c>
    </row>
    <row r="14" spans="1:9">
      <c r="A14" s="17" t="s">
        <v>661</v>
      </c>
      <c r="B14" s="17" t="s">
        <v>10</v>
      </c>
      <c r="C14" s="17" t="s">
        <v>660</v>
      </c>
      <c r="D14" s="17">
        <v>6.4000000000000001E-2</v>
      </c>
      <c r="F14" s="29" t="s">
        <v>16</v>
      </c>
      <c r="G14" s="30" t="s">
        <v>659</v>
      </c>
      <c r="H14" s="30" t="s">
        <v>654</v>
      </c>
      <c r="I14" s="31">
        <v>8152</v>
      </c>
    </row>
    <row r="15" spans="1:9">
      <c r="A15" s="17" t="s">
        <v>664</v>
      </c>
      <c r="B15" s="17" t="s">
        <v>10</v>
      </c>
      <c r="C15" s="17" t="s">
        <v>660</v>
      </c>
      <c r="D15" s="17">
        <v>0.157</v>
      </c>
      <c r="F15" s="29" t="s">
        <v>16</v>
      </c>
      <c r="G15" s="30" t="s">
        <v>659</v>
      </c>
      <c r="H15" s="30" t="s">
        <v>655</v>
      </c>
      <c r="I15" s="31">
        <v>7605</v>
      </c>
    </row>
    <row r="16" spans="1:9">
      <c r="A16" s="17" t="s">
        <v>665</v>
      </c>
      <c r="B16" s="17" t="s">
        <v>10</v>
      </c>
      <c r="C16" s="17" t="s">
        <v>660</v>
      </c>
      <c r="D16" s="17">
        <v>0.16700000000000001</v>
      </c>
      <c r="F16" s="29" t="s">
        <v>16</v>
      </c>
      <c r="G16" s="30" t="s">
        <v>666</v>
      </c>
      <c r="H16" s="30" t="s">
        <v>667</v>
      </c>
      <c r="I16" s="31">
        <v>5179</v>
      </c>
    </row>
    <row r="17" spans="1:9">
      <c r="A17" s="17" t="s">
        <v>668</v>
      </c>
      <c r="B17" s="17" t="s">
        <v>10</v>
      </c>
      <c r="C17" s="17" t="s">
        <v>660</v>
      </c>
      <c r="D17" s="17">
        <v>5.8999999999999997E-2</v>
      </c>
      <c r="F17" s="29" t="s">
        <v>111</v>
      </c>
      <c r="G17" s="30" t="s">
        <v>652</v>
      </c>
      <c r="H17" s="30" t="s">
        <v>656</v>
      </c>
      <c r="I17" s="31">
        <v>329</v>
      </c>
    </row>
    <row r="18" spans="1:9">
      <c r="A18" s="17" t="s">
        <v>669</v>
      </c>
      <c r="B18" s="17" t="s">
        <v>10</v>
      </c>
      <c r="C18" s="17" t="s">
        <v>670</v>
      </c>
      <c r="D18" s="17">
        <v>6.4000000000000001E-2</v>
      </c>
      <c r="F18" s="29" t="s">
        <v>111</v>
      </c>
      <c r="G18" s="30" t="s">
        <v>671</v>
      </c>
      <c r="H18" s="30" t="s">
        <v>672</v>
      </c>
      <c r="I18" s="31">
        <v>1712</v>
      </c>
    </row>
    <row r="19" spans="1:9">
      <c r="A19" s="17" t="s">
        <v>664</v>
      </c>
      <c r="B19" s="17" t="s">
        <v>10</v>
      </c>
      <c r="C19" s="17" t="s">
        <v>670</v>
      </c>
      <c r="D19" s="17">
        <v>0.1</v>
      </c>
      <c r="F19" s="29" t="s">
        <v>14</v>
      </c>
      <c r="G19" s="30" t="s">
        <v>660</v>
      </c>
      <c r="H19" s="30" t="s">
        <v>665</v>
      </c>
      <c r="I19" s="31">
        <v>2826</v>
      </c>
    </row>
    <row r="20" spans="1:9">
      <c r="A20" s="17" t="s">
        <v>661</v>
      </c>
      <c r="B20" s="17" t="s">
        <v>10</v>
      </c>
      <c r="C20" s="17" t="s">
        <v>670</v>
      </c>
      <c r="D20" s="17">
        <v>0.10100000000000001</v>
      </c>
      <c r="F20" s="29" t="s">
        <v>14</v>
      </c>
      <c r="G20" s="30" t="s">
        <v>666</v>
      </c>
      <c r="H20" s="30" t="s">
        <v>673</v>
      </c>
      <c r="I20" s="31">
        <v>837</v>
      </c>
    </row>
    <row r="21" spans="1:9">
      <c r="A21" s="17" t="s">
        <v>674</v>
      </c>
      <c r="B21" s="17" t="s">
        <v>10</v>
      </c>
      <c r="C21" s="17" t="s">
        <v>670</v>
      </c>
      <c r="D21" s="17">
        <v>5.1999999999999998E-2</v>
      </c>
      <c r="F21" s="29" t="s">
        <v>16</v>
      </c>
      <c r="G21" s="30" t="s">
        <v>666</v>
      </c>
      <c r="H21" s="30" t="s">
        <v>673</v>
      </c>
      <c r="I21" s="31">
        <v>8668</v>
      </c>
    </row>
    <row r="22" spans="1:9">
      <c r="A22" s="17" t="s">
        <v>675</v>
      </c>
      <c r="B22" s="17" t="s">
        <v>10</v>
      </c>
      <c r="C22" s="17" t="s">
        <v>671</v>
      </c>
      <c r="D22" s="17">
        <v>8.4000000000000005E-2</v>
      </c>
      <c r="F22" s="29" t="s">
        <v>14</v>
      </c>
      <c r="G22" s="30" t="s">
        <v>649</v>
      </c>
      <c r="H22" s="30" t="s">
        <v>651</v>
      </c>
      <c r="I22" s="31">
        <v>7706</v>
      </c>
    </row>
    <row r="23" spans="1:9">
      <c r="A23" s="17" t="s">
        <v>674</v>
      </c>
      <c r="B23" s="17" t="s">
        <v>10</v>
      </c>
      <c r="C23" s="17" t="s">
        <v>671</v>
      </c>
      <c r="D23" s="17">
        <v>0.12</v>
      </c>
      <c r="F23" s="29" t="s">
        <v>16</v>
      </c>
      <c r="G23" s="30" t="s">
        <v>666</v>
      </c>
      <c r="H23" s="30" t="s">
        <v>667</v>
      </c>
      <c r="I23" s="31">
        <v>8021</v>
      </c>
    </row>
    <row r="24" spans="1:9">
      <c r="A24" s="17" t="s">
        <v>672</v>
      </c>
      <c r="B24" s="17" t="s">
        <v>10</v>
      </c>
      <c r="C24" s="17" t="s">
        <v>671</v>
      </c>
      <c r="D24" s="17">
        <v>0.154</v>
      </c>
      <c r="F24" s="29" t="s">
        <v>10</v>
      </c>
      <c r="G24" s="30" t="s">
        <v>662</v>
      </c>
      <c r="H24" s="30" t="s">
        <v>676</v>
      </c>
      <c r="I24" s="31">
        <v>5417</v>
      </c>
    </row>
    <row r="25" spans="1:9">
      <c r="A25" s="17" t="s">
        <v>677</v>
      </c>
      <c r="B25" s="17" t="s">
        <v>10</v>
      </c>
      <c r="C25" s="17" t="s">
        <v>666</v>
      </c>
      <c r="D25" s="17">
        <v>9.6000000000000002E-2</v>
      </c>
      <c r="F25" s="29" t="s">
        <v>111</v>
      </c>
      <c r="G25" s="30" t="s">
        <v>649</v>
      </c>
      <c r="H25" s="30" t="s">
        <v>655</v>
      </c>
      <c r="I25" s="31">
        <v>4178</v>
      </c>
    </row>
    <row r="26" spans="1:9">
      <c r="A26" s="17" t="s">
        <v>673</v>
      </c>
      <c r="B26" s="17" t="s">
        <v>10</v>
      </c>
      <c r="C26" s="17" t="s">
        <v>666</v>
      </c>
      <c r="D26" s="17">
        <v>7.9000000000000001E-2</v>
      </c>
      <c r="F26" s="29" t="s">
        <v>10</v>
      </c>
      <c r="G26" s="30" t="s">
        <v>649</v>
      </c>
      <c r="H26" s="30" t="s">
        <v>651</v>
      </c>
      <c r="I26" s="31">
        <v>5317</v>
      </c>
    </row>
    <row r="27" spans="1:9">
      <c r="A27" s="17" t="s">
        <v>667</v>
      </c>
      <c r="B27" s="17" t="s">
        <v>10</v>
      </c>
      <c r="C27" s="17" t="s">
        <v>666</v>
      </c>
      <c r="D27" s="17">
        <v>5.8999999999999997E-2</v>
      </c>
      <c r="F27" s="29" t="s">
        <v>10</v>
      </c>
      <c r="G27" s="30" t="s">
        <v>657</v>
      </c>
      <c r="H27" s="30" t="s">
        <v>678</v>
      </c>
      <c r="I27" s="31">
        <v>9782</v>
      </c>
    </row>
    <row r="28" spans="1:9">
      <c r="A28" s="17" t="s">
        <v>663</v>
      </c>
      <c r="B28" s="17" t="s">
        <v>10</v>
      </c>
      <c r="C28" s="17" t="s">
        <v>662</v>
      </c>
      <c r="D28" s="17">
        <v>0.14499999999999999</v>
      </c>
      <c r="F28" s="29" t="s">
        <v>10</v>
      </c>
      <c r="G28" s="30" t="s">
        <v>671</v>
      </c>
      <c r="H28" s="30" t="s">
        <v>674</v>
      </c>
      <c r="I28" s="31">
        <v>7501</v>
      </c>
    </row>
    <row r="29" spans="1:9">
      <c r="A29" s="17" t="s">
        <v>676</v>
      </c>
      <c r="B29" s="17" t="s">
        <v>10</v>
      </c>
      <c r="C29" s="17" t="s">
        <v>662</v>
      </c>
      <c r="D29" s="17">
        <v>0.06</v>
      </c>
      <c r="F29" s="29" t="s">
        <v>10</v>
      </c>
      <c r="G29" s="30" t="s">
        <v>671</v>
      </c>
      <c r="H29" s="30" t="s">
        <v>675</v>
      </c>
      <c r="I29" s="31">
        <v>9147</v>
      </c>
    </row>
    <row r="30" spans="1:9">
      <c r="A30" s="17" t="s">
        <v>679</v>
      </c>
      <c r="B30" s="17" t="s">
        <v>10</v>
      </c>
      <c r="C30" s="17" t="s">
        <v>662</v>
      </c>
      <c r="D30" s="17">
        <v>0.13900000000000001</v>
      </c>
      <c r="F30" s="29" t="s">
        <v>10</v>
      </c>
      <c r="G30" s="30" t="s">
        <v>670</v>
      </c>
      <c r="H30" s="30" t="s">
        <v>674</v>
      </c>
      <c r="I30" s="31">
        <v>4391</v>
      </c>
    </row>
    <row r="31" spans="1:9">
      <c r="A31" s="17" t="s">
        <v>658</v>
      </c>
      <c r="B31" s="17" t="s">
        <v>10</v>
      </c>
      <c r="C31" s="17" t="s">
        <v>657</v>
      </c>
      <c r="D31" s="17">
        <v>0.106</v>
      </c>
      <c r="F31" s="29" t="s">
        <v>16</v>
      </c>
      <c r="G31" s="30" t="s">
        <v>662</v>
      </c>
      <c r="H31" s="30" t="s">
        <v>676</v>
      </c>
      <c r="I31" s="31">
        <v>3454</v>
      </c>
    </row>
    <row r="32" spans="1:9">
      <c r="A32" s="17" t="s">
        <v>680</v>
      </c>
      <c r="B32" s="17" t="s">
        <v>10</v>
      </c>
      <c r="C32" s="17" t="s">
        <v>657</v>
      </c>
      <c r="D32" s="17">
        <v>0.1</v>
      </c>
      <c r="F32" s="29" t="s">
        <v>111</v>
      </c>
      <c r="G32" s="30" t="s">
        <v>670</v>
      </c>
      <c r="H32" s="30" t="s">
        <v>674</v>
      </c>
      <c r="I32" s="31">
        <v>1072</v>
      </c>
    </row>
    <row r="33" spans="1:9">
      <c r="A33" s="17" t="s">
        <v>678</v>
      </c>
      <c r="B33" s="17" t="s">
        <v>10</v>
      </c>
      <c r="C33" s="17" t="s">
        <v>657</v>
      </c>
      <c r="D33" s="17">
        <v>9.6000000000000002E-2</v>
      </c>
      <c r="F33" s="29" t="s">
        <v>16</v>
      </c>
      <c r="G33" s="30" t="s">
        <v>660</v>
      </c>
      <c r="H33" s="30" t="s">
        <v>668</v>
      </c>
      <c r="I33" s="31">
        <v>512</v>
      </c>
    </row>
    <row r="34" spans="1:9">
      <c r="A34" s="17" t="s">
        <v>681</v>
      </c>
      <c r="B34" s="17" t="s">
        <v>10</v>
      </c>
      <c r="C34" s="17" t="s">
        <v>657</v>
      </c>
      <c r="D34" s="17">
        <v>5.5E-2</v>
      </c>
      <c r="F34" s="29" t="s">
        <v>10</v>
      </c>
      <c r="G34" s="30" t="s">
        <v>670</v>
      </c>
      <c r="H34" s="30" t="s">
        <v>664</v>
      </c>
      <c r="I34" s="31">
        <v>5042</v>
      </c>
    </row>
    <row r="35" spans="1:9">
      <c r="A35" s="17" t="s">
        <v>648</v>
      </c>
      <c r="B35" s="17" t="s">
        <v>16</v>
      </c>
      <c r="C35" s="17" t="s">
        <v>649</v>
      </c>
      <c r="D35" s="17">
        <v>0.129</v>
      </c>
      <c r="F35" s="29" t="s">
        <v>10</v>
      </c>
      <c r="G35" s="30" t="s">
        <v>659</v>
      </c>
      <c r="H35" s="30" t="s">
        <v>661</v>
      </c>
      <c r="I35" s="31">
        <v>4151</v>
      </c>
    </row>
    <row r="36" spans="1:9">
      <c r="A36" s="17" t="s">
        <v>655</v>
      </c>
      <c r="B36" s="17" t="s">
        <v>16</v>
      </c>
      <c r="C36" s="17" t="s">
        <v>649</v>
      </c>
      <c r="D36" s="17">
        <v>0.106</v>
      </c>
      <c r="F36" s="29" t="s">
        <v>111</v>
      </c>
      <c r="G36" s="30" t="s">
        <v>670</v>
      </c>
      <c r="H36" s="30" t="s">
        <v>669</v>
      </c>
      <c r="I36" s="31">
        <v>9870</v>
      </c>
    </row>
    <row r="37" spans="1:9">
      <c r="A37" s="17" t="s">
        <v>651</v>
      </c>
      <c r="B37" s="17" t="s">
        <v>16</v>
      </c>
      <c r="C37" s="17" t="s">
        <v>649</v>
      </c>
      <c r="D37" s="17">
        <v>0.157</v>
      </c>
      <c r="F37" s="29" t="s">
        <v>10</v>
      </c>
      <c r="G37" s="30" t="s">
        <v>657</v>
      </c>
      <c r="H37" s="30" t="s">
        <v>681</v>
      </c>
      <c r="I37" s="31">
        <v>5289</v>
      </c>
    </row>
    <row r="38" spans="1:9">
      <c r="A38" s="17" t="s">
        <v>654</v>
      </c>
      <c r="B38" s="17" t="s">
        <v>16</v>
      </c>
      <c r="C38" s="17" t="s">
        <v>652</v>
      </c>
      <c r="D38" s="17">
        <v>0.127</v>
      </c>
      <c r="F38" s="29" t="s">
        <v>16</v>
      </c>
      <c r="G38" s="30" t="s">
        <v>649</v>
      </c>
      <c r="H38" s="30" t="s">
        <v>655</v>
      </c>
      <c r="I38" s="31">
        <v>9252</v>
      </c>
    </row>
    <row r="39" spans="1:9">
      <c r="A39" s="17" t="s">
        <v>653</v>
      </c>
      <c r="B39" s="17" t="s">
        <v>16</v>
      </c>
      <c r="C39" s="17" t="s">
        <v>652</v>
      </c>
      <c r="D39" s="17">
        <v>7.0999999999999994E-2</v>
      </c>
      <c r="F39" s="29" t="s">
        <v>111</v>
      </c>
      <c r="G39" s="30" t="s">
        <v>659</v>
      </c>
      <c r="H39" s="30" t="s">
        <v>655</v>
      </c>
      <c r="I39" s="31">
        <v>6876</v>
      </c>
    </row>
    <row r="40" spans="1:9">
      <c r="A40" s="17" t="s">
        <v>656</v>
      </c>
      <c r="B40" s="17" t="s">
        <v>16</v>
      </c>
      <c r="C40" s="17" t="s">
        <v>652</v>
      </c>
      <c r="D40" s="17">
        <v>9.8000000000000004E-2</v>
      </c>
      <c r="F40" s="29" t="s">
        <v>16</v>
      </c>
      <c r="G40" s="30" t="s">
        <v>659</v>
      </c>
      <c r="H40" s="30" t="s">
        <v>655</v>
      </c>
      <c r="I40" s="31">
        <v>4301</v>
      </c>
    </row>
    <row r="41" spans="1:9">
      <c r="A41" s="17" t="s">
        <v>654</v>
      </c>
      <c r="B41" s="17" t="s">
        <v>16</v>
      </c>
      <c r="C41" s="17" t="s">
        <v>659</v>
      </c>
      <c r="D41" s="17">
        <v>0.13900000000000001</v>
      </c>
      <c r="F41" s="29" t="s">
        <v>16</v>
      </c>
      <c r="G41" s="30" t="s">
        <v>662</v>
      </c>
      <c r="H41" s="30" t="s">
        <v>679</v>
      </c>
      <c r="I41" s="31">
        <v>2973</v>
      </c>
    </row>
    <row r="42" spans="1:9">
      <c r="A42" s="17" t="s">
        <v>655</v>
      </c>
      <c r="B42" s="17" t="s">
        <v>16</v>
      </c>
      <c r="C42" s="17" t="s">
        <v>659</v>
      </c>
      <c r="D42" s="17">
        <v>0.17</v>
      </c>
      <c r="F42" s="29" t="s">
        <v>16</v>
      </c>
      <c r="G42" s="30" t="s">
        <v>666</v>
      </c>
      <c r="H42" s="30" t="s">
        <v>667</v>
      </c>
      <c r="I42" s="31">
        <v>7080</v>
      </c>
    </row>
    <row r="43" spans="1:9">
      <c r="A43" s="17" t="s">
        <v>661</v>
      </c>
      <c r="B43" s="17" t="s">
        <v>16</v>
      </c>
      <c r="C43" s="17" t="s">
        <v>659</v>
      </c>
      <c r="D43" s="17">
        <v>7.9000000000000001E-2</v>
      </c>
      <c r="F43" s="29" t="s">
        <v>111</v>
      </c>
      <c r="G43" s="30" t="s">
        <v>657</v>
      </c>
      <c r="H43" s="30" t="s">
        <v>658</v>
      </c>
      <c r="I43" s="31">
        <v>7881</v>
      </c>
    </row>
    <row r="44" spans="1:9">
      <c r="A44" s="17" t="s">
        <v>661</v>
      </c>
      <c r="B44" s="17" t="s">
        <v>16</v>
      </c>
      <c r="C44" s="17" t="s">
        <v>660</v>
      </c>
      <c r="D44" s="17">
        <v>5.6000000000000001E-2</v>
      </c>
      <c r="F44" s="29" t="s">
        <v>14</v>
      </c>
      <c r="G44" s="30" t="s">
        <v>649</v>
      </c>
      <c r="H44" s="30" t="s">
        <v>648</v>
      </c>
      <c r="I44" s="31">
        <v>1572</v>
      </c>
    </row>
    <row r="45" spans="1:9">
      <c r="A45" s="17" t="s">
        <v>664</v>
      </c>
      <c r="B45" s="17" t="s">
        <v>16</v>
      </c>
      <c r="C45" s="17" t="s">
        <v>660</v>
      </c>
      <c r="D45" s="17">
        <v>0.114</v>
      </c>
      <c r="F45" s="29" t="s">
        <v>14</v>
      </c>
      <c r="G45" s="30" t="s">
        <v>670</v>
      </c>
      <c r="H45" s="30" t="s">
        <v>664</v>
      </c>
      <c r="I45" s="31">
        <v>2873</v>
      </c>
    </row>
    <row r="46" spans="1:9">
      <c r="A46" s="17" t="s">
        <v>665</v>
      </c>
      <c r="B46" s="17" t="s">
        <v>16</v>
      </c>
      <c r="C46" s="17" t="s">
        <v>660</v>
      </c>
      <c r="D46" s="17">
        <v>8.4000000000000005E-2</v>
      </c>
      <c r="F46" s="29" t="s">
        <v>14</v>
      </c>
      <c r="G46" s="30" t="s">
        <v>660</v>
      </c>
      <c r="H46" s="30" t="s">
        <v>664</v>
      </c>
      <c r="I46" s="31">
        <v>8719</v>
      </c>
    </row>
    <row r="47" spans="1:9">
      <c r="A47" s="17" t="s">
        <v>668</v>
      </c>
      <c r="B47" s="17" t="s">
        <v>16</v>
      </c>
      <c r="C47" s="17" t="s">
        <v>660</v>
      </c>
      <c r="D47" s="17">
        <v>0.128</v>
      </c>
      <c r="F47" s="29" t="s">
        <v>10</v>
      </c>
      <c r="G47" s="30" t="s">
        <v>660</v>
      </c>
      <c r="H47" s="30" t="s">
        <v>661</v>
      </c>
      <c r="I47" s="31">
        <v>414</v>
      </c>
    </row>
    <row r="48" spans="1:9">
      <c r="A48" s="17" t="s">
        <v>669</v>
      </c>
      <c r="B48" s="17" t="s">
        <v>16</v>
      </c>
      <c r="C48" s="17" t="s">
        <v>670</v>
      </c>
      <c r="D48" s="17">
        <v>0.151</v>
      </c>
      <c r="F48" s="29" t="s">
        <v>14</v>
      </c>
      <c r="G48" s="30" t="s">
        <v>652</v>
      </c>
      <c r="H48" s="30" t="s">
        <v>653</v>
      </c>
      <c r="I48" s="31">
        <v>4773</v>
      </c>
    </row>
    <row r="49" spans="1:9">
      <c r="A49" s="17" t="s">
        <v>664</v>
      </c>
      <c r="B49" s="17" t="s">
        <v>16</v>
      </c>
      <c r="C49" s="17" t="s">
        <v>670</v>
      </c>
      <c r="D49" s="17">
        <v>0.16800000000000001</v>
      </c>
      <c r="F49" s="29" t="s">
        <v>10</v>
      </c>
      <c r="G49" s="30" t="s">
        <v>660</v>
      </c>
      <c r="H49" s="30" t="s">
        <v>668</v>
      </c>
      <c r="I49" s="31">
        <v>2260</v>
      </c>
    </row>
    <row r="50" spans="1:9">
      <c r="A50" s="17" t="s">
        <v>661</v>
      </c>
      <c r="B50" s="17" t="s">
        <v>16</v>
      </c>
      <c r="C50" s="17" t="s">
        <v>670</v>
      </c>
      <c r="D50" s="17">
        <v>7.8E-2</v>
      </c>
      <c r="F50" s="29" t="s">
        <v>111</v>
      </c>
      <c r="G50" s="30" t="s">
        <v>660</v>
      </c>
      <c r="H50" s="30" t="s">
        <v>665</v>
      </c>
      <c r="I50" s="31">
        <v>5921</v>
      </c>
    </row>
    <row r="51" spans="1:9">
      <c r="A51" s="17" t="s">
        <v>674</v>
      </c>
      <c r="B51" s="17" t="s">
        <v>16</v>
      </c>
      <c r="C51" s="17" t="s">
        <v>670</v>
      </c>
      <c r="D51" s="17">
        <v>0.14499999999999999</v>
      </c>
      <c r="F51" s="29" t="s">
        <v>10</v>
      </c>
      <c r="G51" s="30" t="s">
        <v>660</v>
      </c>
      <c r="H51" s="30" t="s">
        <v>668</v>
      </c>
      <c r="I51" s="31">
        <v>5945</v>
      </c>
    </row>
    <row r="52" spans="1:9">
      <c r="A52" s="17" t="s">
        <v>675</v>
      </c>
      <c r="B52" s="17" t="s">
        <v>16</v>
      </c>
      <c r="C52" s="17" t="s">
        <v>671</v>
      </c>
      <c r="D52" s="17">
        <v>8.7999999999999995E-2</v>
      </c>
      <c r="F52" s="29" t="s">
        <v>111</v>
      </c>
      <c r="G52" s="30" t="s">
        <v>662</v>
      </c>
      <c r="H52" s="30" t="s">
        <v>663</v>
      </c>
      <c r="I52" s="31">
        <v>9463</v>
      </c>
    </row>
    <row r="53" spans="1:9">
      <c r="A53" s="17" t="s">
        <v>674</v>
      </c>
      <c r="B53" s="17" t="s">
        <v>16</v>
      </c>
      <c r="C53" s="17" t="s">
        <v>671</v>
      </c>
      <c r="D53" s="17">
        <v>0.14899999999999999</v>
      </c>
      <c r="F53" s="29" t="s">
        <v>14</v>
      </c>
      <c r="G53" s="30" t="s">
        <v>670</v>
      </c>
      <c r="H53" s="30" t="s">
        <v>664</v>
      </c>
      <c r="I53" s="31">
        <v>4982</v>
      </c>
    </row>
    <row r="54" spans="1:9">
      <c r="A54" s="17" t="s">
        <v>672</v>
      </c>
      <c r="B54" s="17" t="s">
        <v>16</v>
      </c>
      <c r="C54" s="17" t="s">
        <v>671</v>
      </c>
      <c r="D54" s="17">
        <v>0.16</v>
      </c>
      <c r="F54" s="29" t="s">
        <v>10</v>
      </c>
      <c r="G54" s="30" t="s">
        <v>649</v>
      </c>
      <c r="H54" s="30" t="s">
        <v>655</v>
      </c>
      <c r="I54" s="31">
        <v>2891</v>
      </c>
    </row>
    <row r="55" spans="1:9">
      <c r="A55" s="17" t="s">
        <v>677</v>
      </c>
      <c r="B55" s="17" t="s">
        <v>16</v>
      </c>
      <c r="C55" s="17" t="s">
        <v>666</v>
      </c>
      <c r="D55" s="17">
        <v>7.1999999999999995E-2</v>
      </c>
      <c r="F55" s="29" t="s">
        <v>10</v>
      </c>
      <c r="G55" s="30" t="s">
        <v>660</v>
      </c>
      <c r="H55" s="30" t="s">
        <v>668</v>
      </c>
      <c r="I55" s="31">
        <v>4114</v>
      </c>
    </row>
    <row r="56" spans="1:9">
      <c r="A56" s="17" t="s">
        <v>673</v>
      </c>
      <c r="B56" s="17" t="s">
        <v>16</v>
      </c>
      <c r="C56" s="17" t="s">
        <v>666</v>
      </c>
      <c r="D56" s="17">
        <v>4.2000000000000003E-2</v>
      </c>
      <c r="F56" s="29" t="s">
        <v>10</v>
      </c>
      <c r="G56" s="30" t="s">
        <v>662</v>
      </c>
      <c r="H56" s="30" t="s">
        <v>676</v>
      </c>
      <c r="I56" s="31">
        <v>3161</v>
      </c>
    </row>
    <row r="57" spans="1:9">
      <c r="A57" s="17" t="s">
        <v>667</v>
      </c>
      <c r="B57" s="17" t="s">
        <v>16</v>
      </c>
      <c r="C57" s="17" t="s">
        <v>666</v>
      </c>
      <c r="D57" s="17">
        <v>0.1</v>
      </c>
      <c r="F57" s="29" t="s">
        <v>16</v>
      </c>
      <c r="G57" s="30" t="s">
        <v>662</v>
      </c>
      <c r="H57" s="30" t="s">
        <v>676</v>
      </c>
      <c r="I57" s="31">
        <v>7779</v>
      </c>
    </row>
    <row r="58" spans="1:9">
      <c r="A58" s="17" t="s">
        <v>663</v>
      </c>
      <c r="B58" s="17" t="s">
        <v>16</v>
      </c>
      <c r="C58" s="17" t="s">
        <v>662</v>
      </c>
      <c r="D58" s="17">
        <v>0.10299999999999999</v>
      </c>
      <c r="F58" s="29" t="s">
        <v>111</v>
      </c>
      <c r="G58" s="30" t="s">
        <v>670</v>
      </c>
      <c r="H58" s="30" t="s">
        <v>674</v>
      </c>
      <c r="I58" s="31">
        <v>8614</v>
      </c>
    </row>
    <row r="59" spans="1:9">
      <c r="A59" s="17" t="s">
        <v>676</v>
      </c>
      <c r="B59" s="17" t="s">
        <v>16</v>
      </c>
      <c r="C59" s="17" t="s">
        <v>662</v>
      </c>
      <c r="D59" s="17">
        <v>0.153</v>
      </c>
      <c r="F59" s="29" t="s">
        <v>10</v>
      </c>
      <c r="G59" s="30" t="s">
        <v>670</v>
      </c>
      <c r="H59" s="30" t="s">
        <v>674</v>
      </c>
      <c r="I59" s="31">
        <v>2528</v>
      </c>
    </row>
    <row r="60" spans="1:9">
      <c r="A60" s="17" t="s">
        <v>679</v>
      </c>
      <c r="B60" s="17" t="s">
        <v>16</v>
      </c>
      <c r="C60" s="17" t="s">
        <v>662</v>
      </c>
      <c r="D60" s="17">
        <v>8.5000000000000006E-2</v>
      </c>
      <c r="F60" s="29" t="s">
        <v>111</v>
      </c>
      <c r="G60" s="30" t="s">
        <v>652</v>
      </c>
      <c r="H60" s="30" t="s">
        <v>654</v>
      </c>
      <c r="I60" s="31">
        <v>6277</v>
      </c>
    </row>
    <row r="61" spans="1:9">
      <c r="A61" s="17" t="s">
        <v>658</v>
      </c>
      <c r="B61" s="17" t="s">
        <v>16</v>
      </c>
      <c r="C61" s="17" t="s">
        <v>657</v>
      </c>
      <c r="D61" s="17">
        <v>0.114</v>
      </c>
      <c r="F61" s="29" t="s">
        <v>16</v>
      </c>
      <c r="G61" s="30" t="s">
        <v>649</v>
      </c>
      <c r="H61" s="30" t="s">
        <v>655</v>
      </c>
      <c r="I61" s="31">
        <v>6338</v>
      </c>
    </row>
    <row r="62" spans="1:9">
      <c r="A62" s="17" t="s">
        <v>680</v>
      </c>
      <c r="B62" s="17" t="s">
        <v>16</v>
      </c>
      <c r="C62" s="17" t="s">
        <v>657</v>
      </c>
      <c r="D62" s="17">
        <v>0.189</v>
      </c>
      <c r="F62" s="29" t="s">
        <v>14</v>
      </c>
      <c r="G62" s="30" t="s">
        <v>671</v>
      </c>
      <c r="H62" s="30" t="s">
        <v>675</v>
      </c>
      <c r="I62" s="31">
        <v>1662</v>
      </c>
    </row>
    <row r="63" spans="1:9">
      <c r="A63" s="17" t="s">
        <v>678</v>
      </c>
      <c r="B63" s="17" t="s">
        <v>16</v>
      </c>
      <c r="C63" s="17" t="s">
        <v>657</v>
      </c>
      <c r="D63" s="17">
        <v>0.14299999999999999</v>
      </c>
      <c r="F63" s="29" t="s">
        <v>16</v>
      </c>
      <c r="G63" s="30" t="s">
        <v>660</v>
      </c>
      <c r="H63" s="30" t="s">
        <v>665</v>
      </c>
      <c r="I63" s="31">
        <v>6213</v>
      </c>
    </row>
    <row r="64" spans="1:9">
      <c r="A64" s="17" t="s">
        <v>681</v>
      </c>
      <c r="B64" s="17" t="s">
        <v>16</v>
      </c>
      <c r="C64" s="17" t="s">
        <v>657</v>
      </c>
      <c r="D64" s="17">
        <v>0.08</v>
      </c>
      <c r="F64" s="29" t="s">
        <v>10</v>
      </c>
      <c r="G64" s="30" t="s">
        <v>652</v>
      </c>
      <c r="H64" s="30" t="s">
        <v>656</v>
      </c>
      <c r="I64" s="31">
        <v>4305</v>
      </c>
    </row>
    <row r="65" spans="1:9">
      <c r="A65" s="17" t="s">
        <v>648</v>
      </c>
      <c r="B65" s="17" t="s">
        <v>14</v>
      </c>
      <c r="C65" s="17" t="s">
        <v>649</v>
      </c>
      <c r="D65" s="17">
        <v>0.108</v>
      </c>
      <c r="F65" s="29" t="s">
        <v>10</v>
      </c>
      <c r="G65" s="30" t="s">
        <v>657</v>
      </c>
      <c r="H65" s="30" t="s">
        <v>680</v>
      </c>
      <c r="I65" s="31">
        <v>9113</v>
      </c>
    </row>
    <row r="66" spans="1:9">
      <c r="A66" s="17" t="s">
        <v>655</v>
      </c>
      <c r="B66" s="17" t="s">
        <v>14</v>
      </c>
      <c r="C66" s="17" t="s">
        <v>649</v>
      </c>
      <c r="D66" s="17">
        <v>7.1999999999999995E-2</v>
      </c>
      <c r="F66" s="29" t="s">
        <v>111</v>
      </c>
      <c r="G66" s="30" t="s">
        <v>649</v>
      </c>
      <c r="H66" s="30" t="s">
        <v>655</v>
      </c>
      <c r="I66" s="31">
        <v>4024</v>
      </c>
    </row>
    <row r="67" spans="1:9">
      <c r="A67" s="17" t="s">
        <v>651</v>
      </c>
      <c r="B67" s="17" t="s">
        <v>14</v>
      </c>
      <c r="C67" s="17" t="s">
        <v>649</v>
      </c>
      <c r="D67" s="17">
        <v>6.0999999999999999E-2</v>
      </c>
      <c r="F67" s="29" t="s">
        <v>10</v>
      </c>
      <c r="G67" s="30" t="s">
        <v>652</v>
      </c>
      <c r="H67" s="30" t="s">
        <v>653</v>
      </c>
      <c r="I67" s="31">
        <v>916</v>
      </c>
    </row>
    <row r="68" spans="1:9">
      <c r="A68" s="17" t="s">
        <v>654</v>
      </c>
      <c r="B68" s="17" t="s">
        <v>14</v>
      </c>
      <c r="C68" s="17" t="s">
        <v>652</v>
      </c>
      <c r="D68" s="17">
        <v>4.3999999999999997E-2</v>
      </c>
      <c r="F68" s="29" t="s">
        <v>16</v>
      </c>
      <c r="G68" s="30" t="s">
        <v>660</v>
      </c>
      <c r="H68" s="30" t="s">
        <v>665</v>
      </c>
      <c r="I68" s="31">
        <v>659</v>
      </c>
    </row>
    <row r="69" spans="1:9">
      <c r="A69" s="17" t="s">
        <v>653</v>
      </c>
      <c r="B69" s="17" t="s">
        <v>14</v>
      </c>
      <c r="C69" s="17" t="s">
        <v>652</v>
      </c>
      <c r="D69" s="17">
        <v>0.159</v>
      </c>
      <c r="F69" s="29" t="s">
        <v>14</v>
      </c>
      <c r="G69" s="30" t="s">
        <v>671</v>
      </c>
      <c r="H69" s="30" t="s">
        <v>675</v>
      </c>
      <c r="I69" s="31">
        <v>6085</v>
      </c>
    </row>
    <row r="70" spans="1:9">
      <c r="A70" s="17" t="s">
        <v>656</v>
      </c>
      <c r="B70" s="17" t="s">
        <v>14</v>
      </c>
      <c r="C70" s="17" t="s">
        <v>652</v>
      </c>
      <c r="D70" s="17">
        <v>5.8999999999999997E-2</v>
      </c>
      <c r="F70" s="29" t="s">
        <v>16</v>
      </c>
      <c r="G70" s="30" t="s">
        <v>666</v>
      </c>
      <c r="H70" s="30" t="s">
        <v>673</v>
      </c>
      <c r="I70" s="31">
        <v>6020</v>
      </c>
    </row>
    <row r="71" spans="1:9">
      <c r="A71" s="17" t="s">
        <v>654</v>
      </c>
      <c r="B71" s="17" t="s">
        <v>14</v>
      </c>
      <c r="C71" s="17" t="s">
        <v>659</v>
      </c>
      <c r="D71" s="17">
        <v>5.8999999999999997E-2</v>
      </c>
      <c r="F71" s="29" t="s">
        <v>111</v>
      </c>
      <c r="G71" s="30" t="s">
        <v>666</v>
      </c>
      <c r="H71" s="30" t="s">
        <v>667</v>
      </c>
      <c r="I71" s="31">
        <v>9037</v>
      </c>
    </row>
    <row r="72" spans="1:9">
      <c r="A72" s="17" t="s">
        <v>655</v>
      </c>
      <c r="B72" s="17" t="s">
        <v>14</v>
      </c>
      <c r="C72" s="17" t="s">
        <v>659</v>
      </c>
      <c r="D72" s="17">
        <v>0.126</v>
      </c>
      <c r="F72" s="29" t="s">
        <v>10</v>
      </c>
      <c r="G72" s="30" t="s">
        <v>666</v>
      </c>
      <c r="H72" s="30" t="s">
        <v>673</v>
      </c>
      <c r="I72" s="31">
        <v>5693</v>
      </c>
    </row>
    <row r="73" spans="1:9">
      <c r="A73" s="17" t="s">
        <v>661</v>
      </c>
      <c r="B73" s="17" t="s">
        <v>14</v>
      </c>
      <c r="C73" s="17" t="s">
        <v>659</v>
      </c>
      <c r="D73" s="17">
        <v>0.183</v>
      </c>
      <c r="F73" s="29" t="s">
        <v>16</v>
      </c>
      <c r="G73" s="30" t="s">
        <v>657</v>
      </c>
      <c r="H73" s="30" t="s">
        <v>658</v>
      </c>
      <c r="I73" s="31">
        <v>2919</v>
      </c>
    </row>
    <row r="74" spans="1:9">
      <c r="A74" s="17" t="s">
        <v>661</v>
      </c>
      <c r="B74" s="17" t="s">
        <v>14</v>
      </c>
      <c r="C74" s="17" t="s">
        <v>660</v>
      </c>
      <c r="D74" s="17">
        <v>9.4E-2</v>
      </c>
      <c r="F74" s="29" t="s">
        <v>111</v>
      </c>
      <c r="G74" s="30" t="s">
        <v>671</v>
      </c>
      <c r="H74" s="30" t="s">
        <v>672</v>
      </c>
      <c r="I74" s="31">
        <v>6245</v>
      </c>
    </row>
    <row r="75" spans="1:9">
      <c r="A75" s="17" t="s">
        <v>664</v>
      </c>
      <c r="B75" s="17" t="s">
        <v>14</v>
      </c>
      <c r="C75" s="17" t="s">
        <v>660</v>
      </c>
      <c r="D75" s="17">
        <v>8.7999999999999995E-2</v>
      </c>
      <c r="F75" s="29" t="s">
        <v>16</v>
      </c>
      <c r="G75" s="30" t="s">
        <v>659</v>
      </c>
      <c r="H75" s="30" t="s">
        <v>661</v>
      </c>
      <c r="I75" s="31">
        <v>5803</v>
      </c>
    </row>
    <row r="76" spans="1:9">
      <c r="A76" s="17" t="s">
        <v>665</v>
      </c>
      <c r="B76" s="17" t="s">
        <v>14</v>
      </c>
      <c r="C76" s="17" t="s">
        <v>660</v>
      </c>
      <c r="D76" s="17">
        <v>0.115</v>
      </c>
      <c r="F76" s="29" t="s">
        <v>14</v>
      </c>
      <c r="G76" s="30" t="s">
        <v>666</v>
      </c>
      <c r="H76" s="30" t="s">
        <v>677</v>
      </c>
      <c r="I76" s="31">
        <v>2502</v>
      </c>
    </row>
    <row r="77" spans="1:9">
      <c r="A77" s="17" t="s">
        <v>668</v>
      </c>
      <c r="B77" s="17" t="s">
        <v>14</v>
      </c>
      <c r="C77" s="17" t="s">
        <v>660</v>
      </c>
      <c r="D77" s="17">
        <v>0.152</v>
      </c>
      <c r="F77" s="29" t="s">
        <v>10</v>
      </c>
      <c r="G77" s="30" t="s">
        <v>666</v>
      </c>
      <c r="H77" s="30" t="s">
        <v>677</v>
      </c>
      <c r="I77" s="31">
        <v>491</v>
      </c>
    </row>
    <row r="78" spans="1:9">
      <c r="A78" s="17" t="s">
        <v>669</v>
      </c>
      <c r="B78" s="17" t="s">
        <v>14</v>
      </c>
      <c r="C78" s="17" t="s">
        <v>670</v>
      </c>
      <c r="D78" s="17">
        <v>0.189</v>
      </c>
      <c r="F78" s="29" t="s">
        <v>111</v>
      </c>
      <c r="G78" s="30" t="s">
        <v>649</v>
      </c>
      <c r="H78" s="30" t="s">
        <v>651</v>
      </c>
      <c r="I78" s="31">
        <v>3185</v>
      </c>
    </row>
    <row r="79" spans="1:9">
      <c r="A79" s="17" t="s">
        <v>664</v>
      </c>
      <c r="B79" s="17" t="s">
        <v>14</v>
      </c>
      <c r="C79" s="17" t="s">
        <v>670</v>
      </c>
      <c r="D79" s="17">
        <v>0.11</v>
      </c>
      <c r="F79" s="29" t="s">
        <v>10</v>
      </c>
      <c r="G79" s="30" t="s">
        <v>662</v>
      </c>
      <c r="H79" s="30" t="s">
        <v>679</v>
      </c>
      <c r="I79" s="31">
        <v>2457</v>
      </c>
    </row>
    <row r="80" spans="1:9">
      <c r="A80" s="17" t="s">
        <v>661</v>
      </c>
      <c r="B80" s="17" t="s">
        <v>14</v>
      </c>
      <c r="C80" s="17" t="s">
        <v>670</v>
      </c>
      <c r="D80" s="17">
        <v>0.11799999999999999</v>
      </c>
      <c r="F80" s="29" t="s">
        <v>111</v>
      </c>
      <c r="G80" s="30" t="s">
        <v>660</v>
      </c>
      <c r="H80" s="30" t="s">
        <v>664</v>
      </c>
      <c r="I80" s="31">
        <v>5089</v>
      </c>
    </row>
    <row r="81" spans="1:9">
      <c r="A81" s="17" t="s">
        <v>674</v>
      </c>
      <c r="B81" s="17" t="s">
        <v>14</v>
      </c>
      <c r="C81" s="17" t="s">
        <v>670</v>
      </c>
      <c r="D81" s="17">
        <v>0.14699999999999999</v>
      </c>
      <c r="F81" s="29" t="s">
        <v>16</v>
      </c>
      <c r="G81" s="30" t="s">
        <v>666</v>
      </c>
      <c r="H81" s="30" t="s">
        <v>667</v>
      </c>
      <c r="I81" s="31">
        <v>5722</v>
      </c>
    </row>
    <row r="82" spans="1:9">
      <c r="A82" s="17" t="s">
        <v>675</v>
      </c>
      <c r="B82" s="17" t="s">
        <v>14</v>
      </c>
      <c r="C82" s="17" t="s">
        <v>671</v>
      </c>
      <c r="D82" s="17">
        <v>6.4000000000000001E-2</v>
      </c>
      <c r="F82" s="29" t="s">
        <v>14</v>
      </c>
      <c r="G82" s="30" t="s">
        <v>660</v>
      </c>
      <c r="H82" s="30" t="s">
        <v>664</v>
      </c>
      <c r="I82" s="31">
        <v>7833</v>
      </c>
    </row>
    <row r="83" spans="1:9">
      <c r="A83" s="17" t="s">
        <v>674</v>
      </c>
      <c r="B83" s="17" t="s">
        <v>14</v>
      </c>
      <c r="C83" s="17" t="s">
        <v>671</v>
      </c>
      <c r="D83" s="17">
        <v>0.186</v>
      </c>
      <c r="F83" s="29" t="s">
        <v>16</v>
      </c>
      <c r="G83" s="30" t="s">
        <v>649</v>
      </c>
      <c r="H83" s="30" t="s">
        <v>648</v>
      </c>
      <c r="I83" s="31">
        <v>2256</v>
      </c>
    </row>
    <row r="84" spans="1:9">
      <c r="A84" s="17" t="s">
        <v>672</v>
      </c>
      <c r="B84" s="17" t="s">
        <v>14</v>
      </c>
      <c r="C84" s="17" t="s">
        <v>671</v>
      </c>
      <c r="D84" s="17">
        <v>8.3000000000000004E-2</v>
      </c>
      <c r="F84" s="29" t="s">
        <v>16</v>
      </c>
      <c r="G84" s="30" t="s">
        <v>652</v>
      </c>
      <c r="H84" s="30" t="s">
        <v>654</v>
      </c>
      <c r="I84" s="31">
        <v>690</v>
      </c>
    </row>
    <row r="85" spans="1:9">
      <c r="A85" s="17" t="s">
        <v>677</v>
      </c>
      <c r="B85" s="17" t="s">
        <v>14</v>
      </c>
      <c r="C85" s="17" t="s">
        <v>666</v>
      </c>
      <c r="D85" s="17">
        <v>0.16</v>
      </c>
      <c r="F85" s="29" t="s">
        <v>14</v>
      </c>
      <c r="G85" s="30" t="s">
        <v>666</v>
      </c>
      <c r="H85" s="30" t="s">
        <v>673</v>
      </c>
      <c r="I85" s="31">
        <v>5914</v>
      </c>
    </row>
    <row r="86" spans="1:9">
      <c r="A86" s="17" t="s">
        <v>673</v>
      </c>
      <c r="B86" s="17" t="s">
        <v>14</v>
      </c>
      <c r="C86" s="17" t="s">
        <v>666</v>
      </c>
      <c r="D86" s="17">
        <v>4.9000000000000002E-2</v>
      </c>
      <c r="F86" s="29" t="s">
        <v>111</v>
      </c>
      <c r="G86" s="30" t="s">
        <v>660</v>
      </c>
      <c r="H86" s="30" t="s">
        <v>661</v>
      </c>
      <c r="I86" s="31">
        <v>6109</v>
      </c>
    </row>
    <row r="87" spans="1:9">
      <c r="A87" s="17" t="s">
        <v>667</v>
      </c>
      <c r="B87" s="17" t="s">
        <v>14</v>
      </c>
      <c r="C87" s="17" t="s">
        <v>666</v>
      </c>
      <c r="D87" s="17">
        <v>0.15</v>
      </c>
      <c r="F87" s="29" t="s">
        <v>16</v>
      </c>
      <c r="G87" s="30" t="s">
        <v>666</v>
      </c>
      <c r="H87" s="30" t="s">
        <v>667</v>
      </c>
      <c r="I87" s="31">
        <v>6283</v>
      </c>
    </row>
    <row r="88" spans="1:9">
      <c r="A88" s="17" t="s">
        <v>663</v>
      </c>
      <c r="B88" s="17" t="s">
        <v>14</v>
      </c>
      <c r="C88" s="17" t="s">
        <v>662</v>
      </c>
      <c r="D88" s="17">
        <v>0.1</v>
      </c>
      <c r="F88" s="29" t="s">
        <v>16</v>
      </c>
      <c r="G88" s="30" t="s">
        <v>652</v>
      </c>
      <c r="H88" s="30" t="s">
        <v>653</v>
      </c>
      <c r="I88" s="31">
        <v>6015</v>
      </c>
    </row>
    <row r="89" spans="1:9">
      <c r="A89" s="17" t="s">
        <v>676</v>
      </c>
      <c r="B89" s="17" t="s">
        <v>14</v>
      </c>
      <c r="C89" s="17" t="s">
        <v>662</v>
      </c>
      <c r="D89" s="17">
        <v>0.106</v>
      </c>
      <c r="F89" s="29" t="s">
        <v>16</v>
      </c>
      <c r="G89" s="30" t="s">
        <v>671</v>
      </c>
      <c r="H89" s="30" t="s">
        <v>674</v>
      </c>
      <c r="I89" s="31">
        <v>9486</v>
      </c>
    </row>
    <row r="90" spans="1:9">
      <c r="A90" s="17" t="s">
        <v>679</v>
      </c>
      <c r="B90" s="17" t="s">
        <v>14</v>
      </c>
      <c r="C90" s="17" t="s">
        <v>662</v>
      </c>
      <c r="D90" s="17">
        <v>0.155</v>
      </c>
      <c r="F90" s="29" t="s">
        <v>16</v>
      </c>
      <c r="G90" s="30" t="s">
        <v>652</v>
      </c>
      <c r="H90" s="30" t="s">
        <v>656</v>
      </c>
      <c r="I90" s="31">
        <v>6702</v>
      </c>
    </row>
    <row r="91" spans="1:9">
      <c r="A91" s="17" t="s">
        <v>658</v>
      </c>
      <c r="B91" s="17" t="s">
        <v>14</v>
      </c>
      <c r="C91" s="17" t="s">
        <v>657</v>
      </c>
      <c r="D91" s="17">
        <v>0.126</v>
      </c>
      <c r="F91" s="29" t="s">
        <v>16</v>
      </c>
      <c r="G91" s="30" t="s">
        <v>657</v>
      </c>
      <c r="H91" s="30" t="s">
        <v>681</v>
      </c>
      <c r="I91" s="31">
        <v>5344</v>
      </c>
    </row>
    <row r="92" spans="1:9">
      <c r="A92" s="17" t="s">
        <v>680</v>
      </c>
      <c r="B92" s="17" t="s">
        <v>14</v>
      </c>
      <c r="C92" s="17" t="s">
        <v>657</v>
      </c>
      <c r="D92" s="17">
        <v>4.9000000000000002E-2</v>
      </c>
      <c r="F92" s="29" t="s">
        <v>111</v>
      </c>
      <c r="G92" s="30" t="s">
        <v>662</v>
      </c>
      <c r="H92" s="30" t="s">
        <v>679</v>
      </c>
      <c r="I92" s="31">
        <v>2930</v>
      </c>
    </row>
    <row r="93" spans="1:9">
      <c r="A93" s="17" t="s">
        <v>678</v>
      </c>
      <c r="B93" s="17" t="s">
        <v>14</v>
      </c>
      <c r="C93" s="17" t="s">
        <v>657</v>
      </c>
      <c r="D93" s="17">
        <v>0.11700000000000001</v>
      </c>
      <c r="F93" s="29" t="s">
        <v>10</v>
      </c>
      <c r="G93" s="30" t="s">
        <v>657</v>
      </c>
      <c r="H93" s="30" t="s">
        <v>681</v>
      </c>
      <c r="I93" s="31">
        <v>6042</v>
      </c>
    </row>
    <row r="94" spans="1:9">
      <c r="A94" s="17" t="s">
        <v>681</v>
      </c>
      <c r="B94" s="17" t="s">
        <v>14</v>
      </c>
      <c r="C94" s="17" t="s">
        <v>657</v>
      </c>
      <c r="D94" s="17">
        <v>0.13200000000000001</v>
      </c>
      <c r="F94" s="29" t="s">
        <v>10</v>
      </c>
      <c r="G94" s="30" t="s">
        <v>670</v>
      </c>
      <c r="H94" s="30" t="s">
        <v>669</v>
      </c>
      <c r="I94" s="31">
        <v>3353</v>
      </c>
    </row>
    <row r="95" spans="1:9">
      <c r="A95" s="17" t="s">
        <v>648</v>
      </c>
      <c r="B95" s="17" t="s">
        <v>111</v>
      </c>
      <c r="C95" s="17" t="s">
        <v>649</v>
      </c>
      <c r="D95" s="17">
        <v>7.3999999999999996E-2</v>
      </c>
      <c r="F95" s="29" t="s">
        <v>14</v>
      </c>
      <c r="G95" s="30" t="s">
        <v>670</v>
      </c>
      <c r="H95" s="30" t="s">
        <v>669</v>
      </c>
      <c r="I95" s="31">
        <v>302</v>
      </c>
    </row>
    <row r="96" spans="1:9">
      <c r="A96" s="17" t="s">
        <v>655</v>
      </c>
      <c r="B96" s="17" t="s">
        <v>111</v>
      </c>
      <c r="C96" s="17" t="s">
        <v>649</v>
      </c>
      <c r="D96" s="17">
        <v>5.7000000000000002E-2</v>
      </c>
      <c r="F96" s="29" t="s">
        <v>14</v>
      </c>
      <c r="G96" s="30" t="s">
        <v>670</v>
      </c>
      <c r="H96" s="30" t="s">
        <v>664</v>
      </c>
      <c r="I96" s="31">
        <v>5745</v>
      </c>
    </row>
    <row r="97" spans="1:9">
      <c r="A97" s="17" t="s">
        <v>651</v>
      </c>
      <c r="B97" s="17" t="s">
        <v>111</v>
      </c>
      <c r="C97" s="17" t="s">
        <v>649</v>
      </c>
      <c r="D97" s="17">
        <v>4.2999999999999997E-2</v>
      </c>
      <c r="F97" s="29" t="s">
        <v>10</v>
      </c>
      <c r="G97" s="30" t="s">
        <v>660</v>
      </c>
      <c r="H97" s="30" t="s">
        <v>665</v>
      </c>
      <c r="I97" s="31">
        <v>2021</v>
      </c>
    </row>
    <row r="98" spans="1:9">
      <c r="A98" s="17" t="s">
        <v>654</v>
      </c>
      <c r="B98" s="17" t="s">
        <v>111</v>
      </c>
      <c r="C98" s="17" t="s">
        <v>652</v>
      </c>
      <c r="D98" s="17">
        <v>5.1999999999999998E-2</v>
      </c>
      <c r="F98" s="29" t="s">
        <v>16</v>
      </c>
      <c r="G98" s="30" t="s">
        <v>659</v>
      </c>
      <c r="H98" s="30" t="s">
        <v>661</v>
      </c>
      <c r="I98" s="31">
        <v>8570</v>
      </c>
    </row>
    <row r="99" spans="1:9">
      <c r="A99" s="17" t="s">
        <v>653</v>
      </c>
      <c r="B99" s="17" t="s">
        <v>111</v>
      </c>
      <c r="C99" s="17" t="s">
        <v>652</v>
      </c>
      <c r="D99" s="17">
        <v>6.6000000000000003E-2</v>
      </c>
      <c r="F99" s="29" t="s">
        <v>10</v>
      </c>
      <c r="G99" s="30" t="s">
        <v>649</v>
      </c>
      <c r="H99" s="30" t="s">
        <v>648</v>
      </c>
      <c r="I99" s="31">
        <v>2108</v>
      </c>
    </row>
    <row r="100" spans="1:9">
      <c r="A100" s="17" t="s">
        <v>656</v>
      </c>
      <c r="B100" s="17" t="s">
        <v>111</v>
      </c>
      <c r="C100" s="17" t="s">
        <v>652</v>
      </c>
      <c r="D100" s="17">
        <v>0.18099999999999999</v>
      </c>
      <c r="F100" s="29" t="s">
        <v>111</v>
      </c>
      <c r="G100" s="30" t="s">
        <v>670</v>
      </c>
      <c r="H100" s="30" t="s">
        <v>674</v>
      </c>
      <c r="I100" s="31">
        <v>9087</v>
      </c>
    </row>
    <row r="101" spans="1:9">
      <c r="A101" s="17" t="s">
        <v>654</v>
      </c>
      <c r="B101" s="17" t="s">
        <v>111</v>
      </c>
      <c r="C101" s="17" t="s">
        <v>659</v>
      </c>
      <c r="D101" s="17">
        <v>0.18099999999999999</v>
      </c>
      <c r="F101" s="29" t="s">
        <v>111</v>
      </c>
      <c r="G101" s="30" t="s">
        <v>660</v>
      </c>
      <c r="H101" s="30" t="s">
        <v>668</v>
      </c>
      <c r="I101" s="31">
        <v>5519</v>
      </c>
    </row>
    <row r="102" spans="1:9">
      <c r="A102" s="17" t="s">
        <v>655</v>
      </c>
      <c r="B102" s="17" t="s">
        <v>111</v>
      </c>
      <c r="C102" s="17" t="s">
        <v>659</v>
      </c>
      <c r="D102" s="17">
        <v>0.108</v>
      </c>
      <c r="F102" s="29" t="s">
        <v>111</v>
      </c>
      <c r="G102" s="30" t="s">
        <v>662</v>
      </c>
      <c r="H102" s="30" t="s">
        <v>663</v>
      </c>
      <c r="I102" s="31">
        <v>713</v>
      </c>
    </row>
    <row r="103" spans="1:9">
      <c r="A103" s="17" t="s">
        <v>661</v>
      </c>
      <c r="B103" s="17" t="s">
        <v>111</v>
      </c>
      <c r="C103" s="17" t="s">
        <v>659</v>
      </c>
      <c r="D103" s="17">
        <v>6.5000000000000002E-2</v>
      </c>
      <c r="F103" s="29" t="s">
        <v>111</v>
      </c>
      <c r="G103" s="30" t="s">
        <v>649</v>
      </c>
      <c r="H103" s="30" t="s">
        <v>655</v>
      </c>
      <c r="I103" s="31">
        <v>6631</v>
      </c>
    </row>
    <row r="104" spans="1:9">
      <c r="A104" s="17" t="s">
        <v>661</v>
      </c>
      <c r="B104" s="17" t="s">
        <v>111</v>
      </c>
      <c r="C104" s="17" t="s">
        <v>660</v>
      </c>
      <c r="D104" s="17">
        <v>9.8000000000000004E-2</v>
      </c>
      <c r="F104" s="29" t="s">
        <v>10</v>
      </c>
      <c r="G104" s="30" t="s">
        <v>666</v>
      </c>
      <c r="H104" s="30" t="s">
        <v>673</v>
      </c>
      <c r="I104" s="31">
        <v>5957</v>
      </c>
    </row>
    <row r="105" spans="1:9">
      <c r="A105" s="17" t="s">
        <v>664</v>
      </c>
      <c r="B105" s="17" t="s">
        <v>111</v>
      </c>
      <c r="C105" s="17" t="s">
        <v>660</v>
      </c>
      <c r="D105" s="17">
        <v>9.7000000000000003E-2</v>
      </c>
      <c r="F105" s="29" t="s">
        <v>16</v>
      </c>
      <c r="G105" s="30" t="s">
        <v>671</v>
      </c>
      <c r="H105" s="30" t="s">
        <v>675</v>
      </c>
      <c r="I105" s="31">
        <v>1241</v>
      </c>
    </row>
    <row r="106" spans="1:9">
      <c r="A106" s="17" t="s">
        <v>665</v>
      </c>
      <c r="B106" s="17" t="s">
        <v>111</v>
      </c>
      <c r="C106" s="17" t="s">
        <v>660</v>
      </c>
      <c r="D106" s="17">
        <v>0.16500000000000001</v>
      </c>
      <c r="F106" s="29" t="s">
        <v>14</v>
      </c>
      <c r="G106" s="30" t="s">
        <v>649</v>
      </c>
      <c r="H106" s="30" t="s">
        <v>651</v>
      </c>
      <c r="I106" s="31">
        <v>842</v>
      </c>
    </row>
    <row r="107" spans="1:9">
      <c r="A107" s="17" t="s">
        <v>668</v>
      </c>
      <c r="B107" s="17" t="s">
        <v>111</v>
      </c>
      <c r="C107" s="17" t="s">
        <v>660</v>
      </c>
      <c r="D107" s="17">
        <v>0.14199999999999999</v>
      </c>
      <c r="F107" s="29" t="s">
        <v>10</v>
      </c>
      <c r="G107" s="30" t="s">
        <v>660</v>
      </c>
      <c r="H107" s="30" t="s">
        <v>665</v>
      </c>
      <c r="I107" s="31">
        <v>5437</v>
      </c>
    </row>
    <row r="108" spans="1:9">
      <c r="A108" s="17" t="s">
        <v>669</v>
      </c>
      <c r="B108" s="17" t="s">
        <v>111</v>
      </c>
      <c r="C108" s="17" t="s">
        <v>670</v>
      </c>
      <c r="D108" s="17">
        <v>0.109</v>
      </c>
      <c r="F108" s="29" t="s">
        <v>14</v>
      </c>
      <c r="G108" s="30" t="s">
        <v>659</v>
      </c>
      <c r="H108" s="30" t="s">
        <v>654</v>
      </c>
      <c r="I108" s="31">
        <v>7973</v>
      </c>
    </row>
    <row r="109" spans="1:9">
      <c r="A109" s="17" t="s">
        <v>664</v>
      </c>
      <c r="B109" s="17" t="s">
        <v>111</v>
      </c>
      <c r="C109" s="17" t="s">
        <v>670</v>
      </c>
      <c r="D109" s="17">
        <v>0.184</v>
      </c>
      <c r="F109" s="29" t="s">
        <v>14</v>
      </c>
      <c r="G109" s="30" t="s">
        <v>649</v>
      </c>
      <c r="H109" s="30" t="s">
        <v>655</v>
      </c>
      <c r="I109" s="31">
        <v>746</v>
      </c>
    </row>
    <row r="110" spans="1:9">
      <c r="A110" s="17" t="s">
        <v>661</v>
      </c>
      <c r="B110" s="17" t="s">
        <v>111</v>
      </c>
      <c r="C110" s="17" t="s">
        <v>670</v>
      </c>
      <c r="D110" s="17">
        <v>8.6999999999999994E-2</v>
      </c>
      <c r="F110" s="29" t="s">
        <v>14</v>
      </c>
      <c r="G110" s="30" t="s">
        <v>662</v>
      </c>
      <c r="H110" s="30" t="s">
        <v>676</v>
      </c>
      <c r="I110" s="31">
        <v>7069</v>
      </c>
    </row>
    <row r="111" spans="1:9">
      <c r="A111" s="17" t="s">
        <v>674</v>
      </c>
      <c r="B111" s="17" t="s">
        <v>111</v>
      </c>
      <c r="C111" s="17" t="s">
        <v>670</v>
      </c>
      <c r="D111" s="17">
        <v>9.5000000000000001E-2</v>
      </c>
      <c r="F111" s="29" t="s">
        <v>14</v>
      </c>
      <c r="G111" s="30" t="s">
        <v>657</v>
      </c>
      <c r="H111" s="30" t="s">
        <v>658</v>
      </c>
      <c r="I111" s="31">
        <v>9479</v>
      </c>
    </row>
    <row r="112" spans="1:9">
      <c r="A112" s="17" t="s">
        <v>675</v>
      </c>
      <c r="B112" s="17" t="s">
        <v>111</v>
      </c>
      <c r="C112" s="17" t="s">
        <v>671</v>
      </c>
      <c r="D112" s="17">
        <v>5.5E-2</v>
      </c>
      <c r="F112" s="29" t="s">
        <v>14</v>
      </c>
      <c r="G112" s="30" t="s">
        <v>671</v>
      </c>
      <c r="H112" s="30" t="s">
        <v>675</v>
      </c>
      <c r="I112" s="31">
        <v>2620</v>
      </c>
    </row>
    <row r="113" spans="1:9">
      <c r="A113" s="17" t="s">
        <v>674</v>
      </c>
      <c r="B113" s="17" t="s">
        <v>111</v>
      </c>
      <c r="C113" s="17" t="s">
        <v>671</v>
      </c>
      <c r="D113" s="17">
        <v>0.127</v>
      </c>
      <c r="F113" s="29" t="s">
        <v>14</v>
      </c>
      <c r="G113" s="30" t="s">
        <v>649</v>
      </c>
      <c r="H113" s="30" t="s">
        <v>651</v>
      </c>
      <c r="I113" s="31">
        <v>3179</v>
      </c>
    </row>
    <row r="114" spans="1:9">
      <c r="A114" s="17" t="s">
        <v>672</v>
      </c>
      <c r="B114" s="17" t="s">
        <v>111</v>
      </c>
      <c r="C114" s="17" t="s">
        <v>671</v>
      </c>
      <c r="D114" s="17">
        <v>5.0999999999999997E-2</v>
      </c>
      <c r="F114" s="29" t="s">
        <v>111</v>
      </c>
      <c r="G114" s="30" t="s">
        <v>671</v>
      </c>
      <c r="H114" s="30" t="s">
        <v>674</v>
      </c>
      <c r="I114" s="31">
        <v>7960</v>
      </c>
    </row>
    <row r="115" spans="1:9">
      <c r="A115" s="17" t="s">
        <v>677</v>
      </c>
      <c r="B115" s="17" t="s">
        <v>111</v>
      </c>
      <c r="C115" s="17" t="s">
        <v>666</v>
      </c>
      <c r="D115" s="17">
        <v>0.115</v>
      </c>
      <c r="F115" s="29" t="s">
        <v>16</v>
      </c>
      <c r="G115" s="30" t="s">
        <v>671</v>
      </c>
      <c r="H115" s="30" t="s">
        <v>672</v>
      </c>
      <c r="I115" s="31">
        <v>8594</v>
      </c>
    </row>
    <row r="116" spans="1:9">
      <c r="A116" s="17" t="s">
        <v>673</v>
      </c>
      <c r="B116" s="17" t="s">
        <v>111</v>
      </c>
      <c r="C116" s="17" t="s">
        <v>666</v>
      </c>
      <c r="D116" s="17">
        <v>0.184</v>
      </c>
      <c r="F116" s="29" t="s">
        <v>10</v>
      </c>
      <c r="G116" s="30" t="s">
        <v>666</v>
      </c>
      <c r="H116" s="30" t="s">
        <v>667</v>
      </c>
      <c r="I116" s="31">
        <v>2879</v>
      </c>
    </row>
    <row r="117" spans="1:9">
      <c r="A117" s="17" t="s">
        <v>667</v>
      </c>
      <c r="B117" s="17" t="s">
        <v>111</v>
      </c>
      <c r="C117" s="17" t="s">
        <v>666</v>
      </c>
      <c r="D117" s="17">
        <v>0.13300000000000001</v>
      </c>
      <c r="F117" s="29" t="s">
        <v>14</v>
      </c>
      <c r="G117" s="30" t="s">
        <v>659</v>
      </c>
      <c r="H117" s="30" t="s">
        <v>661</v>
      </c>
      <c r="I117" s="31">
        <v>9867</v>
      </c>
    </row>
    <row r="118" spans="1:9">
      <c r="A118" s="17" t="s">
        <v>663</v>
      </c>
      <c r="B118" s="17" t="s">
        <v>111</v>
      </c>
      <c r="C118" s="17" t="s">
        <v>662</v>
      </c>
      <c r="D118" s="17">
        <v>0.05</v>
      </c>
      <c r="F118" s="29" t="s">
        <v>111</v>
      </c>
      <c r="G118" s="30" t="s">
        <v>660</v>
      </c>
      <c r="H118" s="30" t="s">
        <v>665</v>
      </c>
      <c r="I118" s="31">
        <v>8452</v>
      </c>
    </row>
    <row r="119" spans="1:9">
      <c r="A119" s="17" t="s">
        <v>676</v>
      </c>
      <c r="B119" s="17" t="s">
        <v>111</v>
      </c>
      <c r="C119" s="17" t="s">
        <v>662</v>
      </c>
      <c r="D119" s="17">
        <v>9.5000000000000001E-2</v>
      </c>
      <c r="F119" s="29" t="s">
        <v>10</v>
      </c>
      <c r="G119" s="30" t="s">
        <v>660</v>
      </c>
      <c r="H119" s="30" t="s">
        <v>668</v>
      </c>
      <c r="I119" s="31">
        <v>1495</v>
      </c>
    </row>
    <row r="120" spans="1:9">
      <c r="A120" s="17" t="s">
        <v>679</v>
      </c>
      <c r="B120" s="17" t="s">
        <v>111</v>
      </c>
      <c r="C120" s="17" t="s">
        <v>662</v>
      </c>
      <c r="D120" s="17">
        <v>0.183</v>
      </c>
      <c r="F120" s="29" t="s">
        <v>14</v>
      </c>
      <c r="G120" s="30" t="s">
        <v>649</v>
      </c>
      <c r="H120" s="30" t="s">
        <v>651</v>
      </c>
      <c r="I120" s="31">
        <v>4669</v>
      </c>
    </row>
    <row r="121" spans="1:9">
      <c r="A121" s="17" t="s">
        <v>658</v>
      </c>
      <c r="B121" s="17" t="s">
        <v>111</v>
      </c>
      <c r="C121" s="17" t="s">
        <v>657</v>
      </c>
      <c r="D121" s="17">
        <v>0.14000000000000001</v>
      </c>
      <c r="F121" s="29" t="s">
        <v>10</v>
      </c>
      <c r="G121" s="30" t="s">
        <v>662</v>
      </c>
      <c r="H121" s="30" t="s">
        <v>663</v>
      </c>
      <c r="I121" s="31">
        <v>9510</v>
      </c>
    </row>
    <row r="122" spans="1:9">
      <c r="A122" s="17" t="s">
        <v>680</v>
      </c>
      <c r="B122" s="17" t="s">
        <v>111</v>
      </c>
      <c r="C122" s="17" t="s">
        <v>657</v>
      </c>
      <c r="D122" s="17">
        <v>8.2000000000000003E-2</v>
      </c>
      <c r="F122" s="29" t="s">
        <v>14</v>
      </c>
      <c r="G122" s="30" t="s">
        <v>660</v>
      </c>
      <c r="H122" s="30" t="s">
        <v>661</v>
      </c>
      <c r="I122" s="31">
        <v>8244</v>
      </c>
    </row>
    <row r="123" spans="1:9">
      <c r="A123" s="17" t="s">
        <v>678</v>
      </c>
      <c r="B123" s="17" t="s">
        <v>111</v>
      </c>
      <c r="C123" s="17" t="s">
        <v>657</v>
      </c>
      <c r="D123" s="17">
        <v>0.11899999999999999</v>
      </c>
      <c r="F123" s="29" t="s">
        <v>16</v>
      </c>
      <c r="G123" s="30" t="s">
        <v>657</v>
      </c>
      <c r="H123" s="30" t="s">
        <v>658</v>
      </c>
      <c r="I123" s="31">
        <v>4804</v>
      </c>
    </row>
    <row r="124" spans="1:9">
      <c r="A124" s="17" t="s">
        <v>681</v>
      </c>
      <c r="B124" s="17" t="s">
        <v>111</v>
      </c>
      <c r="C124" s="17" t="s">
        <v>657</v>
      </c>
      <c r="D124" s="17">
        <v>0.16300000000000001</v>
      </c>
      <c r="F124" s="29" t="s">
        <v>14</v>
      </c>
      <c r="G124" s="30" t="s">
        <v>662</v>
      </c>
      <c r="H124" s="30" t="s">
        <v>663</v>
      </c>
      <c r="I124" s="31">
        <v>8198</v>
      </c>
    </row>
    <row r="125" spans="1:9">
      <c r="F125" s="29" t="s">
        <v>111</v>
      </c>
      <c r="G125" s="30" t="s">
        <v>649</v>
      </c>
      <c r="H125" s="30" t="s">
        <v>655</v>
      </c>
      <c r="I125" s="31">
        <v>3060</v>
      </c>
    </row>
    <row r="126" spans="1:9">
      <c r="F126" s="29" t="s">
        <v>14</v>
      </c>
      <c r="G126" s="30" t="s">
        <v>649</v>
      </c>
      <c r="H126" s="30" t="s">
        <v>655</v>
      </c>
      <c r="I126" s="31">
        <v>8171</v>
      </c>
    </row>
    <row r="127" spans="1:9">
      <c r="F127" s="29" t="s">
        <v>14</v>
      </c>
      <c r="G127" s="30" t="s">
        <v>652</v>
      </c>
      <c r="H127" s="30" t="s">
        <v>653</v>
      </c>
      <c r="I127" s="31">
        <v>8944</v>
      </c>
    </row>
    <row r="128" spans="1:9">
      <c r="F128" s="29" t="s">
        <v>111</v>
      </c>
      <c r="G128" s="30" t="s">
        <v>659</v>
      </c>
      <c r="H128" s="30" t="s">
        <v>655</v>
      </c>
      <c r="I128" s="31">
        <v>1598</v>
      </c>
    </row>
    <row r="129" spans="6:9">
      <c r="F129" s="29" t="s">
        <v>16</v>
      </c>
      <c r="G129" s="30" t="s">
        <v>662</v>
      </c>
      <c r="H129" s="30" t="s">
        <v>679</v>
      </c>
      <c r="I129" s="31">
        <v>7584</v>
      </c>
    </row>
    <row r="130" spans="6:9">
      <c r="F130" s="29" t="s">
        <v>10</v>
      </c>
      <c r="G130" s="30" t="s">
        <v>652</v>
      </c>
      <c r="H130" s="30" t="s">
        <v>653</v>
      </c>
      <c r="I130" s="31">
        <v>4599</v>
      </c>
    </row>
    <row r="131" spans="6:9">
      <c r="F131" s="29" t="s">
        <v>10</v>
      </c>
      <c r="G131" s="30" t="s">
        <v>652</v>
      </c>
      <c r="H131" s="30" t="s">
        <v>656</v>
      </c>
      <c r="I131" s="31">
        <v>2375</v>
      </c>
    </row>
    <row r="132" spans="6:9">
      <c r="F132" s="29" t="s">
        <v>16</v>
      </c>
      <c r="G132" s="30" t="s">
        <v>662</v>
      </c>
      <c r="H132" s="30" t="s">
        <v>679</v>
      </c>
      <c r="I132" s="31">
        <v>2194</v>
      </c>
    </row>
    <row r="133" spans="6:9">
      <c r="F133" s="29" t="s">
        <v>10</v>
      </c>
      <c r="G133" s="30" t="s">
        <v>670</v>
      </c>
      <c r="H133" s="30" t="s">
        <v>664</v>
      </c>
      <c r="I133" s="31">
        <v>8727</v>
      </c>
    </row>
    <row r="134" spans="6:9">
      <c r="F134" s="29" t="s">
        <v>14</v>
      </c>
      <c r="G134" s="30" t="s">
        <v>671</v>
      </c>
      <c r="H134" s="30" t="s">
        <v>672</v>
      </c>
      <c r="I134" s="31">
        <v>4246</v>
      </c>
    </row>
    <row r="135" spans="6:9">
      <c r="F135" s="29" t="s">
        <v>14</v>
      </c>
      <c r="G135" s="30" t="s">
        <v>652</v>
      </c>
      <c r="H135" s="30" t="s">
        <v>654</v>
      </c>
      <c r="I135" s="31">
        <v>4304</v>
      </c>
    </row>
    <row r="136" spans="6:9">
      <c r="F136" s="29" t="s">
        <v>111</v>
      </c>
      <c r="G136" s="30" t="s">
        <v>670</v>
      </c>
      <c r="H136" s="30" t="s">
        <v>664</v>
      </c>
      <c r="I136" s="31">
        <v>6810</v>
      </c>
    </row>
    <row r="137" spans="6:9">
      <c r="F137" s="29" t="s">
        <v>10</v>
      </c>
      <c r="G137" s="30" t="s">
        <v>657</v>
      </c>
      <c r="H137" s="30" t="s">
        <v>658</v>
      </c>
      <c r="I137" s="31">
        <v>3360</v>
      </c>
    </row>
    <row r="138" spans="6:9">
      <c r="F138" s="29" t="s">
        <v>14</v>
      </c>
      <c r="G138" s="30" t="s">
        <v>670</v>
      </c>
      <c r="H138" s="30" t="s">
        <v>664</v>
      </c>
      <c r="I138" s="31">
        <v>9803</v>
      </c>
    </row>
    <row r="139" spans="6:9">
      <c r="F139" s="29" t="s">
        <v>10</v>
      </c>
      <c r="G139" s="30" t="s">
        <v>670</v>
      </c>
      <c r="H139" s="30" t="s">
        <v>661</v>
      </c>
      <c r="I139" s="31">
        <v>3847</v>
      </c>
    </row>
    <row r="140" spans="6:9">
      <c r="F140" s="29" t="s">
        <v>14</v>
      </c>
      <c r="G140" s="30" t="s">
        <v>660</v>
      </c>
      <c r="H140" s="30" t="s">
        <v>664</v>
      </c>
      <c r="I140" s="31">
        <v>5683</v>
      </c>
    </row>
    <row r="141" spans="6:9">
      <c r="F141" s="29" t="s">
        <v>14</v>
      </c>
      <c r="G141" s="30" t="s">
        <v>652</v>
      </c>
      <c r="H141" s="30" t="s">
        <v>654</v>
      </c>
      <c r="I141" s="31">
        <v>7590</v>
      </c>
    </row>
    <row r="142" spans="6:9">
      <c r="F142" s="29" t="s">
        <v>14</v>
      </c>
      <c r="G142" s="30" t="s">
        <v>670</v>
      </c>
      <c r="H142" s="30" t="s">
        <v>664</v>
      </c>
      <c r="I142" s="31">
        <v>1058</v>
      </c>
    </row>
    <row r="143" spans="6:9">
      <c r="F143" s="29" t="s">
        <v>14</v>
      </c>
      <c r="G143" s="30" t="s">
        <v>660</v>
      </c>
      <c r="H143" s="30" t="s">
        <v>665</v>
      </c>
      <c r="I143" s="31">
        <v>6233</v>
      </c>
    </row>
    <row r="144" spans="6:9">
      <c r="F144" s="29" t="s">
        <v>16</v>
      </c>
      <c r="G144" s="30" t="s">
        <v>666</v>
      </c>
      <c r="H144" s="30" t="s">
        <v>667</v>
      </c>
      <c r="I144" s="31">
        <v>2276</v>
      </c>
    </row>
    <row r="145" spans="6:9">
      <c r="F145" s="29" t="s">
        <v>111</v>
      </c>
      <c r="G145" s="30" t="s">
        <v>671</v>
      </c>
      <c r="H145" s="30" t="s">
        <v>675</v>
      </c>
      <c r="I145" s="31">
        <v>5905</v>
      </c>
    </row>
    <row r="146" spans="6:9">
      <c r="F146" s="29" t="s">
        <v>10</v>
      </c>
      <c r="G146" s="30" t="s">
        <v>659</v>
      </c>
      <c r="H146" s="30" t="s">
        <v>654</v>
      </c>
      <c r="I146" s="31">
        <v>6123</v>
      </c>
    </row>
    <row r="147" spans="6:9">
      <c r="F147" s="29" t="s">
        <v>14</v>
      </c>
      <c r="G147" s="30" t="s">
        <v>660</v>
      </c>
      <c r="H147" s="30" t="s">
        <v>664</v>
      </c>
      <c r="I147" s="31">
        <v>6049</v>
      </c>
    </row>
    <row r="148" spans="6:9">
      <c r="F148" s="29" t="s">
        <v>14</v>
      </c>
      <c r="G148" s="30" t="s">
        <v>660</v>
      </c>
      <c r="H148" s="30" t="s">
        <v>668</v>
      </c>
      <c r="I148" s="31">
        <v>5925</v>
      </c>
    </row>
    <row r="149" spans="6:9">
      <c r="F149" s="29" t="s">
        <v>10</v>
      </c>
      <c r="G149" s="30" t="s">
        <v>671</v>
      </c>
      <c r="H149" s="30" t="s">
        <v>672</v>
      </c>
      <c r="I149" s="31">
        <v>9617</v>
      </c>
    </row>
    <row r="150" spans="6:9">
      <c r="F150" s="29" t="s">
        <v>14</v>
      </c>
      <c r="G150" s="30" t="s">
        <v>671</v>
      </c>
      <c r="H150" s="30" t="s">
        <v>672</v>
      </c>
      <c r="I150" s="31">
        <v>4711</v>
      </c>
    </row>
    <row r="151" spans="6:9">
      <c r="F151" s="29" t="s">
        <v>10</v>
      </c>
      <c r="G151" s="30" t="s">
        <v>660</v>
      </c>
      <c r="H151" s="30" t="s">
        <v>665</v>
      </c>
      <c r="I151" s="31">
        <v>1429</v>
      </c>
    </row>
    <row r="152" spans="6:9">
      <c r="F152" s="29" t="s">
        <v>16</v>
      </c>
      <c r="G152" s="30" t="s">
        <v>659</v>
      </c>
      <c r="H152" s="30" t="s">
        <v>655</v>
      </c>
      <c r="I152" s="31">
        <v>4587</v>
      </c>
    </row>
    <row r="153" spans="6:9">
      <c r="F153" s="29" t="s">
        <v>111</v>
      </c>
      <c r="G153" s="30" t="s">
        <v>659</v>
      </c>
      <c r="H153" s="30" t="s">
        <v>654</v>
      </c>
      <c r="I153" s="31">
        <v>6902</v>
      </c>
    </row>
    <row r="154" spans="6:9">
      <c r="F154" s="29" t="s">
        <v>10</v>
      </c>
      <c r="G154" s="30" t="s">
        <v>671</v>
      </c>
      <c r="H154" s="30" t="s">
        <v>675</v>
      </c>
      <c r="I154" s="31">
        <v>6554</v>
      </c>
    </row>
    <row r="155" spans="6:9">
      <c r="F155" s="29" t="s">
        <v>10</v>
      </c>
      <c r="G155" s="30" t="s">
        <v>659</v>
      </c>
      <c r="H155" s="30" t="s">
        <v>661</v>
      </c>
      <c r="I155" s="31">
        <v>3884</v>
      </c>
    </row>
    <row r="156" spans="6:9">
      <c r="F156" s="29" t="s">
        <v>10</v>
      </c>
      <c r="G156" s="30" t="s">
        <v>662</v>
      </c>
      <c r="H156" s="30" t="s">
        <v>676</v>
      </c>
      <c r="I156" s="31">
        <v>9709</v>
      </c>
    </row>
    <row r="157" spans="6:9">
      <c r="F157" s="29" t="s">
        <v>10</v>
      </c>
      <c r="G157" s="30" t="s">
        <v>670</v>
      </c>
      <c r="H157" s="30" t="s">
        <v>664</v>
      </c>
      <c r="I157" s="31">
        <v>7243</v>
      </c>
    </row>
    <row r="158" spans="6:9">
      <c r="F158" s="29" t="s">
        <v>10</v>
      </c>
      <c r="G158" s="30" t="s">
        <v>662</v>
      </c>
      <c r="H158" s="30" t="s">
        <v>679</v>
      </c>
      <c r="I158" s="31">
        <v>8725</v>
      </c>
    </row>
    <row r="159" spans="6:9">
      <c r="F159" s="29" t="s">
        <v>10</v>
      </c>
      <c r="G159" s="30" t="s">
        <v>660</v>
      </c>
      <c r="H159" s="30" t="s">
        <v>664</v>
      </c>
      <c r="I159" s="31">
        <v>7942</v>
      </c>
    </row>
    <row r="160" spans="6:9">
      <c r="F160" s="29" t="s">
        <v>111</v>
      </c>
      <c r="G160" s="30" t="s">
        <v>671</v>
      </c>
      <c r="H160" s="30" t="s">
        <v>672</v>
      </c>
      <c r="I160" s="31">
        <v>4794</v>
      </c>
    </row>
    <row r="161" spans="6:9">
      <c r="F161" s="29" t="s">
        <v>16</v>
      </c>
      <c r="G161" s="30" t="s">
        <v>670</v>
      </c>
      <c r="H161" s="30" t="s">
        <v>674</v>
      </c>
      <c r="I161" s="31">
        <v>3237</v>
      </c>
    </row>
    <row r="162" spans="6:9">
      <c r="F162" s="29" t="s">
        <v>16</v>
      </c>
      <c r="G162" s="30" t="s">
        <v>662</v>
      </c>
      <c r="H162" s="30" t="s">
        <v>676</v>
      </c>
      <c r="I162" s="31">
        <v>8044</v>
      </c>
    </row>
    <row r="163" spans="6:9">
      <c r="F163" s="29" t="s">
        <v>111</v>
      </c>
      <c r="G163" s="30" t="s">
        <v>660</v>
      </c>
      <c r="H163" s="30" t="s">
        <v>665</v>
      </c>
      <c r="I163" s="31">
        <v>633</v>
      </c>
    </row>
    <row r="164" spans="6:9">
      <c r="F164" s="29" t="s">
        <v>14</v>
      </c>
      <c r="G164" s="30" t="s">
        <v>670</v>
      </c>
      <c r="H164" s="30" t="s">
        <v>674</v>
      </c>
      <c r="I164" s="31">
        <v>2160</v>
      </c>
    </row>
    <row r="165" spans="6:9">
      <c r="F165" s="29" t="s">
        <v>16</v>
      </c>
      <c r="G165" s="30" t="s">
        <v>652</v>
      </c>
      <c r="H165" s="30" t="s">
        <v>654</v>
      </c>
      <c r="I165" s="31">
        <v>7415</v>
      </c>
    </row>
    <row r="166" spans="6:9">
      <c r="F166" s="29" t="s">
        <v>16</v>
      </c>
      <c r="G166" s="30" t="s">
        <v>660</v>
      </c>
      <c r="H166" s="30" t="s">
        <v>664</v>
      </c>
      <c r="I166" s="31">
        <v>2861</v>
      </c>
    </row>
    <row r="167" spans="6:9">
      <c r="F167" s="29" t="s">
        <v>111</v>
      </c>
      <c r="G167" s="30" t="s">
        <v>670</v>
      </c>
      <c r="H167" s="30" t="s">
        <v>664</v>
      </c>
      <c r="I167" s="31">
        <v>1660</v>
      </c>
    </row>
    <row r="168" spans="6:9">
      <c r="F168" s="29" t="s">
        <v>10</v>
      </c>
      <c r="G168" s="30" t="s">
        <v>649</v>
      </c>
      <c r="H168" s="30" t="s">
        <v>655</v>
      </c>
      <c r="I168" s="31">
        <v>9229</v>
      </c>
    </row>
    <row r="169" spans="6:9">
      <c r="F169" s="29" t="s">
        <v>16</v>
      </c>
      <c r="G169" s="30" t="s">
        <v>657</v>
      </c>
      <c r="H169" s="30" t="s">
        <v>658</v>
      </c>
      <c r="I169" s="31">
        <v>1754</v>
      </c>
    </row>
    <row r="170" spans="6:9">
      <c r="F170" s="29" t="s">
        <v>10</v>
      </c>
      <c r="G170" s="30" t="s">
        <v>660</v>
      </c>
      <c r="H170" s="30" t="s">
        <v>665</v>
      </c>
      <c r="I170" s="31">
        <v>5377</v>
      </c>
    </row>
    <row r="171" spans="6:9">
      <c r="F171" s="29" t="s">
        <v>16</v>
      </c>
      <c r="G171" s="30" t="s">
        <v>660</v>
      </c>
      <c r="H171" s="30" t="s">
        <v>665</v>
      </c>
      <c r="I171" s="31">
        <v>9876</v>
      </c>
    </row>
    <row r="172" spans="6:9">
      <c r="F172" s="29" t="s">
        <v>10</v>
      </c>
      <c r="G172" s="30" t="s">
        <v>666</v>
      </c>
      <c r="H172" s="30" t="s">
        <v>667</v>
      </c>
      <c r="I172" s="31">
        <v>6139</v>
      </c>
    </row>
    <row r="173" spans="6:9">
      <c r="F173" s="29" t="s">
        <v>14</v>
      </c>
      <c r="G173" s="30" t="s">
        <v>657</v>
      </c>
      <c r="H173" s="30" t="s">
        <v>680</v>
      </c>
      <c r="I173" s="31">
        <v>6383</v>
      </c>
    </row>
    <row r="174" spans="6:9">
      <c r="F174" s="29" t="s">
        <v>16</v>
      </c>
      <c r="G174" s="30" t="s">
        <v>660</v>
      </c>
      <c r="H174" s="30" t="s">
        <v>661</v>
      </c>
      <c r="I174" s="31">
        <v>4514</v>
      </c>
    </row>
    <row r="175" spans="6:9">
      <c r="F175" s="29" t="s">
        <v>14</v>
      </c>
      <c r="G175" s="30" t="s">
        <v>662</v>
      </c>
      <c r="H175" s="30" t="s">
        <v>663</v>
      </c>
      <c r="I175" s="31">
        <v>7149</v>
      </c>
    </row>
    <row r="176" spans="6:9">
      <c r="F176" s="29" t="s">
        <v>14</v>
      </c>
      <c r="G176" s="30" t="s">
        <v>666</v>
      </c>
      <c r="H176" s="30" t="s">
        <v>673</v>
      </c>
      <c r="I176" s="31">
        <v>5233</v>
      </c>
    </row>
    <row r="177" spans="6:9">
      <c r="F177" s="29" t="s">
        <v>111</v>
      </c>
      <c r="G177" s="30" t="s">
        <v>666</v>
      </c>
      <c r="H177" s="30" t="s">
        <v>667</v>
      </c>
      <c r="I177" s="31">
        <v>7421</v>
      </c>
    </row>
    <row r="178" spans="6:9">
      <c r="F178" s="29" t="s">
        <v>16</v>
      </c>
      <c r="G178" s="30" t="s">
        <v>659</v>
      </c>
      <c r="H178" s="30" t="s">
        <v>655</v>
      </c>
      <c r="I178" s="31">
        <v>1748</v>
      </c>
    </row>
    <row r="179" spans="6:9">
      <c r="F179" s="29" t="s">
        <v>16</v>
      </c>
      <c r="G179" s="30" t="s">
        <v>671</v>
      </c>
      <c r="H179" s="30" t="s">
        <v>672</v>
      </c>
      <c r="I179" s="31">
        <v>3048</v>
      </c>
    </row>
    <row r="180" spans="6:9">
      <c r="F180" s="29" t="s">
        <v>16</v>
      </c>
      <c r="G180" s="30" t="s">
        <v>657</v>
      </c>
      <c r="H180" s="30" t="s">
        <v>680</v>
      </c>
      <c r="I180" s="31">
        <v>2673</v>
      </c>
    </row>
    <row r="181" spans="6:9">
      <c r="F181" s="29" t="s">
        <v>16</v>
      </c>
      <c r="G181" s="30" t="s">
        <v>671</v>
      </c>
      <c r="H181" s="30" t="s">
        <v>672</v>
      </c>
      <c r="I181" s="31">
        <v>1414</v>
      </c>
    </row>
    <row r="182" spans="6:9">
      <c r="F182" s="29" t="s">
        <v>14</v>
      </c>
      <c r="G182" s="30" t="s">
        <v>666</v>
      </c>
      <c r="H182" s="30" t="s">
        <v>677</v>
      </c>
      <c r="I182" s="31">
        <v>4408</v>
      </c>
    </row>
    <row r="183" spans="6:9">
      <c r="F183" s="29" t="s">
        <v>14</v>
      </c>
      <c r="G183" s="30" t="s">
        <v>659</v>
      </c>
      <c r="H183" s="30" t="s">
        <v>661</v>
      </c>
      <c r="I183" s="31">
        <v>3691</v>
      </c>
    </row>
    <row r="184" spans="6:9">
      <c r="F184" s="29" t="s">
        <v>14</v>
      </c>
      <c r="G184" s="30" t="s">
        <v>659</v>
      </c>
      <c r="H184" s="30" t="s">
        <v>654</v>
      </c>
      <c r="I184" s="31">
        <v>2789</v>
      </c>
    </row>
    <row r="185" spans="6:9">
      <c r="F185" s="29" t="s">
        <v>111</v>
      </c>
      <c r="G185" s="30" t="s">
        <v>659</v>
      </c>
      <c r="H185" s="30" t="s">
        <v>654</v>
      </c>
      <c r="I185" s="31">
        <v>2759</v>
      </c>
    </row>
    <row r="186" spans="6:9">
      <c r="F186" s="29" t="s">
        <v>16</v>
      </c>
      <c r="G186" s="30" t="s">
        <v>660</v>
      </c>
      <c r="H186" s="30" t="s">
        <v>665</v>
      </c>
      <c r="I186" s="31">
        <v>8668</v>
      </c>
    </row>
    <row r="187" spans="6:9">
      <c r="F187" s="29" t="s">
        <v>111</v>
      </c>
      <c r="G187" s="30" t="s">
        <v>649</v>
      </c>
      <c r="H187" s="30" t="s">
        <v>655</v>
      </c>
      <c r="I187" s="31">
        <v>4209</v>
      </c>
    </row>
    <row r="188" spans="6:9">
      <c r="F188" s="29" t="s">
        <v>111</v>
      </c>
      <c r="G188" s="30" t="s">
        <v>652</v>
      </c>
      <c r="H188" s="30" t="s">
        <v>656</v>
      </c>
      <c r="I188" s="31">
        <v>6301</v>
      </c>
    </row>
    <row r="189" spans="6:9">
      <c r="F189" s="29" t="s">
        <v>10</v>
      </c>
      <c r="G189" s="30" t="s">
        <v>659</v>
      </c>
      <c r="H189" s="30" t="s">
        <v>655</v>
      </c>
      <c r="I189" s="31">
        <v>5127</v>
      </c>
    </row>
    <row r="190" spans="6:9">
      <c r="F190" s="29" t="s">
        <v>14</v>
      </c>
      <c r="G190" s="30" t="s">
        <v>659</v>
      </c>
      <c r="H190" s="30" t="s">
        <v>655</v>
      </c>
      <c r="I190" s="31">
        <v>1899</v>
      </c>
    </row>
    <row r="191" spans="6:9">
      <c r="F191" s="29" t="s">
        <v>16</v>
      </c>
      <c r="G191" s="30" t="s">
        <v>652</v>
      </c>
      <c r="H191" s="30" t="s">
        <v>654</v>
      </c>
      <c r="I191" s="31">
        <v>531</v>
      </c>
    </row>
    <row r="192" spans="6:9">
      <c r="F192" s="29" t="s">
        <v>14</v>
      </c>
      <c r="G192" s="30" t="s">
        <v>666</v>
      </c>
      <c r="H192" s="30" t="s">
        <v>673</v>
      </c>
      <c r="I192" s="31">
        <v>9913</v>
      </c>
    </row>
    <row r="193" spans="6:9">
      <c r="F193" s="29" t="s">
        <v>10</v>
      </c>
      <c r="G193" s="30" t="s">
        <v>660</v>
      </c>
      <c r="H193" s="30" t="s">
        <v>665</v>
      </c>
      <c r="I193" s="31">
        <v>4611</v>
      </c>
    </row>
    <row r="194" spans="6:9">
      <c r="F194" s="29" t="s">
        <v>10</v>
      </c>
      <c r="G194" s="30" t="s">
        <v>657</v>
      </c>
      <c r="H194" s="30" t="s">
        <v>680</v>
      </c>
      <c r="I194" s="31">
        <v>3697</v>
      </c>
    </row>
    <row r="195" spans="6:9">
      <c r="F195" s="29" t="s">
        <v>16</v>
      </c>
      <c r="G195" s="30" t="s">
        <v>660</v>
      </c>
      <c r="H195" s="30" t="s">
        <v>664</v>
      </c>
      <c r="I195" s="31">
        <v>6768</v>
      </c>
    </row>
    <row r="196" spans="6:9">
      <c r="F196" s="29" t="s">
        <v>14</v>
      </c>
      <c r="G196" s="30" t="s">
        <v>659</v>
      </c>
      <c r="H196" s="30" t="s">
        <v>655</v>
      </c>
      <c r="I196" s="31">
        <v>9779</v>
      </c>
    </row>
    <row r="197" spans="6:9">
      <c r="F197" s="29" t="s">
        <v>10</v>
      </c>
      <c r="G197" s="30" t="s">
        <v>666</v>
      </c>
      <c r="H197" s="30" t="s">
        <v>673</v>
      </c>
      <c r="I197" s="31">
        <v>7277</v>
      </c>
    </row>
    <row r="198" spans="6:9">
      <c r="F198" s="29" t="s">
        <v>14</v>
      </c>
      <c r="G198" s="30" t="s">
        <v>652</v>
      </c>
      <c r="H198" s="30" t="s">
        <v>654</v>
      </c>
      <c r="I198" s="31">
        <v>7801</v>
      </c>
    </row>
    <row r="199" spans="6:9">
      <c r="F199" s="29" t="s">
        <v>16</v>
      </c>
      <c r="G199" s="30" t="s">
        <v>652</v>
      </c>
      <c r="H199" s="30" t="s">
        <v>653</v>
      </c>
      <c r="I199" s="31">
        <v>7424</v>
      </c>
    </row>
    <row r="200" spans="6:9">
      <c r="F200" s="29" t="s">
        <v>14</v>
      </c>
      <c r="G200" s="30" t="s">
        <v>657</v>
      </c>
      <c r="H200" s="30" t="s">
        <v>681</v>
      </c>
      <c r="I200" s="31">
        <v>1232</v>
      </c>
    </row>
    <row r="201" spans="6:9">
      <c r="F201" s="29" t="s">
        <v>16</v>
      </c>
      <c r="G201" s="30" t="s">
        <v>662</v>
      </c>
      <c r="H201" s="30" t="s">
        <v>663</v>
      </c>
      <c r="I201" s="31">
        <v>5234</v>
      </c>
    </row>
    <row r="202" spans="6:9">
      <c r="F202" s="29" t="s">
        <v>111</v>
      </c>
      <c r="G202" s="30" t="s">
        <v>662</v>
      </c>
      <c r="H202" s="30" t="s">
        <v>679</v>
      </c>
      <c r="I202" s="31">
        <v>4700</v>
      </c>
    </row>
    <row r="203" spans="6:9">
      <c r="F203" s="29" t="s">
        <v>111</v>
      </c>
      <c r="G203" s="30" t="s">
        <v>670</v>
      </c>
      <c r="H203" s="30" t="s">
        <v>674</v>
      </c>
      <c r="I203" s="31">
        <v>5570</v>
      </c>
    </row>
    <row r="204" spans="6:9">
      <c r="F204" s="29" t="s">
        <v>16</v>
      </c>
      <c r="G204" s="30" t="s">
        <v>659</v>
      </c>
      <c r="H204" s="30" t="s">
        <v>661</v>
      </c>
      <c r="I204" s="31">
        <v>1075</v>
      </c>
    </row>
    <row r="205" spans="6:9">
      <c r="F205" s="29" t="s">
        <v>111</v>
      </c>
      <c r="G205" s="30" t="s">
        <v>666</v>
      </c>
      <c r="H205" s="30" t="s">
        <v>677</v>
      </c>
      <c r="I205" s="31">
        <v>361</v>
      </c>
    </row>
    <row r="206" spans="6:9">
      <c r="F206" s="29" t="s">
        <v>10</v>
      </c>
      <c r="G206" s="30" t="s">
        <v>659</v>
      </c>
      <c r="H206" s="30" t="s">
        <v>654</v>
      </c>
      <c r="I206" s="31">
        <v>4466</v>
      </c>
    </row>
    <row r="207" spans="6:9">
      <c r="F207" s="29" t="s">
        <v>10</v>
      </c>
      <c r="G207" s="30" t="s">
        <v>670</v>
      </c>
      <c r="H207" s="30" t="s">
        <v>674</v>
      </c>
      <c r="I207" s="31">
        <v>2105</v>
      </c>
    </row>
    <row r="208" spans="6:9">
      <c r="F208" s="29" t="s">
        <v>10</v>
      </c>
      <c r="G208" s="30" t="s">
        <v>657</v>
      </c>
      <c r="H208" s="30" t="s">
        <v>678</v>
      </c>
      <c r="I208" s="31">
        <v>2668</v>
      </c>
    </row>
    <row r="209" spans="6:9">
      <c r="F209" s="29" t="s">
        <v>16</v>
      </c>
      <c r="G209" s="30" t="s">
        <v>671</v>
      </c>
      <c r="H209" s="30" t="s">
        <v>674</v>
      </c>
      <c r="I209" s="31">
        <v>2148</v>
      </c>
    </row>
    <row r="210" spans="6:9">
      <c r="F210" s="29" t="s">
        <v>111</v>
      </c>
      <c r="G210" s="30" t="s">
        <v>649</v>
      </c>
      <c r="H210" s="30" t="s">
        <v>651</v>
      </c>
      <c r="I210" s="31">
        <v>5569</v>
      </c>
    </row>
    <row r="211" spans="6:9">
      <c r="F211" s="29" t="s">
        <v>16</v>
      </c>
      <c r="G211" s="30" t="s">
        <v>670</v>
      </c>
      <c r="H211" s="30" t="s">
        <v>674</v>
      </c>
      <c r="I211" s="31">
        <v>5950</v>
      </c>
    </row>
    <row r="212" spans="6:9">
      <c r="F212" s="29" t="s">
        <v>111</v>
      </c>
      <c r="G212" s="30" t="s">
        <v>666</v>
      </c>
      <c r="H212" s="30" t="s">
        <v>667</v>
      </c>
      <c r="I212" s="31">
        <v>9231</v>
      </c>
    </row>
    <row r="213" spans="6:9">
      <c r="F213" s="29" t="s">
        <v>14</v>
      </c>
      <c r="G213" s="30" t="s">
        <v>657</v>
      </c>
      <c r="H213" s="30" t="s">
        <v>678</v>
      </c>
      <c r="I213" s="31">
        <v>5518</v>
      </c>
    </row>
    <row r="214" spans="6:9">
      <c r="F214" s="29" t="s">
        <v>10</v>
      </c>
      <c r="G214" s="30" t="s">
        <v>671</v>
      </c>
      <c r="H214" s="30" t="s">
        <v>675</v>
      </c>
      <c r="I214" s="31">
        <v>7602</v>
      </c>
    </row>
    <row r="215" spans="6:9">
      <c r="F215" s="29" t="s">
        <v>14</v>
      </c>
      <c r="G215" s="30" t="s">
        <v>657</v>
      </c>
      <c r="H215" s="30" t="s">
        <v>678</v>
      </c>
      <c r="I215" s="31">
        <v>5147</v>
      </c>
    </row>
    <row r="216" spans="6:9">
      <c r="F216" s="29" t="s">
        <v>111</v>
      </c>
      <c r="G216" s="30" t="s">
        <v>652</v>
      </c>
      <c r="H216" s="30" t="s">
        <v>654</v>
      </c>
      <c r="I216" s="31">
        <v>7965</v>
      </c>
    </row>
    <row r="217" spans="6:9">
      <c r="F217" s="29" t="s">
        <v>16</v>
      </c>
      <c r="G217" s="30" t="s">
        <v>662</v>
      </c>
      <c r="H217" s="30" t="s">
        <v>676</v>
      </c>
      <c r="I217" s="31">
        <v>5013</v>
      </c>
    </row>
    <row r="218" spans="6:9">
      <c r="F218" s="29" t="s">
        <v>16</v>
      </c>
      <c r="G218" s="30" t="s">
        <v>662</v>
      </c>
      <c r="H218" s="30" t="s">
        <v>676</v>
      </c>
      <c r="I218" s="31">
        <v>2246</v>
      </c>
    </row>
    <row r="219" spans="6:9">
      <c r="F219" s="29" t="s">
        <v>111</v>
      </c>
      <c r="G219" s="30" t="s">
        <v>671</v>
      </c>
      <c r="H219" s="30" t="s">
        <v>672</v>
      </c>
      <c r="I219" s="31">
        <v>7692</v>
      </c>
    </row>
    <row r="220" spans="6:9">
      <c r="F220" s="29" t="s">
        <v>14</v>
      </c>
      <c r="G220" s="30" t="s">
        <v>649</v>
      </c>
      <c r="H220" s="30" t="s">
        <v>648</v>
      </c>
      <c r="I220" s="31">
        <v>7713</v>
      </c>
    </row>
    <row r="221" spans="6:9">
      <c r="F221" s="29" t="s">
        <v>14</v>
      </c>
      <c r="G221" s="30" t="s">
        <v>660</v>
      </c>
      <c r="H221" s="30" t="s">
        <v>661</v>
      </c>
      <c r="I221" s="31">
        <v>4008</v>
      </c>
    </row>
    <row r="222" spans="6:9">
      <c r="F222" s="29" t="s">
        <v>111</v>
      </c>
      <c r="G222" s="30" t="s">
        <v>657</v>
      </c>
      <c r="H222" s="30" t="s">
        <v>678</v>
      </c>
      <c r="I222" s="31">
        <v>4705</v>
      </c>
    </row>
    <row r="223" spans="6:9">
      <c r="F223" s="29" t="s">
        <v>10</v>
      </c>
      <c r="G223" s="30" t="s">
        <v>659</v>
      </c>
      <c r="H223" s="30" t="s">
        <v>661</v>
      </c>
      <c r="I223" s="31">
        <v>2433</v>
      </c>
    </row>
    <row r="224" spans="6:9">
      <c r="F224" s="29" t="s">
        <v>111</v>
      </c>
      <c r="G224" s="30" t="s">
        <v>660</v>
      </c>
      <c r="H224" s="30" t="s">
        <v>664</v>
      </c>
      <c r="I224" s="31">
        <v>1160</v>
      </c>
    </row>
    <row r="225" spans="6:9">
      <c r="F225" s="29" t="s">
        <v>10</v>
      </c>
      <c r="G225" s="30" t="s">
        <v>662</v>
      </c>
      <c r="H225" s="30" t="s">
        <v>676</v>
      </c>
      <c r="I225" s="31">
        <v>4921</v>
      </c>
    </row>
    <row r="226" spans="6:9">
      <c r="F226" s="29" t="s">
        <v>16</v>
      </c>
      <c r="G226" s="30" t="s">
        <v>657</v>
      </c>
      <c r="H226" s="30" t="s">
        <v>678</v>
      </c>
      <c r="I226" s="31">
        <v>6055</v>
      </c>
    </row>
    <row r="227" spans="6:9">
      <c r="F227" s="29" t="s">
        <v>111</v>
      </c>
      <c r="G227" s="30" t="s">
        <v>657</v>
      </c>
      <c r="H227" s="30" t="s">
        <v>681</v>
      </c>
      <c r="I227" s="31">
        <v>5623</v>
      </c>
    </row>
    <row r="228" spans="6:9">
      <c r="F228" s="29" t="s">
        <v>10</v>
      </c>
      <c r="G228" s="30" t="s">
        <v>660</v>
      </c>
      <c r="H228" s="30" t="s">
        <v>665</v>
      </c>
      <c r="I228" s="31">
        <v>3691</v>
      </c>
    </row>
    <row r="229" spans="6:9">
      <c r="F229" s="29" t="s">
        <v>14</v>
      </c>
      <c r="G229" s="30" t="s">
        <v>662</v>
      </c>
      <c r="H229" s="30" t="s">
        <v>663</v>
      </c>
      <c r="I229" s="31">
        <v>8708</v>
      </c>
    </row>
    <row r="230" spans="6:9">
      <c r="F230" s="29" t="s">
        <v>111</v>
      </c>
      <c r="G230" s="30" t="s">
        <v>649</v>
      </c>
      <c r="H230" s="30" t="s">
        <v>648</v>
      </c>
      <c r="I230" s="31">
        <v>1762</v>
      </c>
    </row>
    <row r="231" spans="6:9">
      <c r="F231" s="29" t="s">
        <v>14</v>
      </c>
      <c r="G231" s="30" t="s">
        <v>652</v>
      </c>
      <c r="H231" s="30" t="s">
        <v>656</v>
      </c>
      <c r="I231" s="31">
        <v>632</v>
      </c>
    </row>
    <row r="232" spans="6:9">
      <c r="F232" s="29" t="s">
        <v>14</v>
      </c>
      <c r="G232" s="30" t="s">
        <v>652</v>
      </c>
      <c r="H232" s="30" t="s">
        <v>654</v>
      </c>
      <c r="I232" s="31">
        <v>7097</v>
      </c>
    </row>
    <row r="233" spans="6:9">
      <c r="F233" s="29" t="s">
        <v>111</v>
      </c>
      <c r="G233" s="30" t="s">
        <v>649</v>
      </c>
      <c r="H233" s="30" t="s">
        <v>651</v>
      </c>
      <c r="I233" s="31">
        <v>2592</v>
      </c>
    </row>
    <row r="234" spans="6:9">
      <c r="F234" s="29" t="s">
        <v>16</v>
      </c>
      <c r="G234" s="30" t="s">
        <v>671</v>
      </c>
      <c r="H234" s="30" t="s">
        <v>675</v>
      </c>
      <c r="I234" s="31">
        <v>3125</v>
      </c>
    </row>
    <row r="235" spans="6:9">
      <c r="F235" s="29" t="s">
        <v>111</v>
      </c>
      <c r="G235" s="30" t="s">
        <v>649</v>
      </c>
      <c r="H235" s="30" t="s">
        <v>648</v>
      </c>
      <c r="I235" s="31">
        <v>6377</v>
      </c>
    </row>
    <row r="236" spans="6:9">
      <c r="F236" s="29" t="s">
        <v>10</v>
      </c>
      <c r="G236" s="30" t="s">
        <v>649</v>
      </c>
      <c r="H236" s="30" t="s">
        <v>655</v>
      </c>
      <c r="I236" s="31">
        <v>6479</v>
      </c>
    </row>
    <row r="237" spans="6:9">
      <c r="F237" s="29" t="s">
        <v>16</v>
      </c>
      <c r="G237" s="30" t="s">
        <v>649</v>
      </c>
      <c r="H237" s="30" t="s">
        <v>648</v>
      </c>
      <c r="I237" s="31">
        <v>4469</v>
      </c>
    </row>
    <row r="238" spans="6:9">
      <c r="F238" s="29" t="s">
        <v>14</v>
      </c>
      <c r="G238" s="30" t="s">
        <v>649</v>
      </c>
      <c r="H238" s="30" t="s">
        <v>651</v>
      </c>
      <c r="I238" s="31">
        <v>8779</v>
      </c>
    </row>
    <row r="239" spans="6:9">
      <c r="F239" s="29" t="s">
        <v>10</v>
      </c>
      <c r="G239" s="30" t="s">
        <v>659</v>
      </c>
      <c r="H239" s="30" t="s">
        <v>655</v>
      </c>
      <c r="I239" s="31">
        <v>9192</v>
      </c>
    </row>
    <row r="240" spans="6:9">
      <c r="F240" s="29" t="s">
        <v>10</v>
      </c>
      <c r="G240" s="30" t="s">
        <v>660</v>
      </c>
      <c r="H240" s="30" t="s">
        <v>668</v>
      </c>
      <c r="I240" s="31">
        <v>4352</v>
      </c>
    </row>
    <row r="241" spans="6:9">
      <c r="F241" s="29" t="s">
        <v>10</v>
      </c>
      <c r="G241" s="30" t="s">
        <v>670</v>
      </c>
      <c r="H241" s="30" t="s">
        <v>661</v>
      </c>
      <c r="I241" s="31">
        <v>5300</v>
      </c>
    </row>
    <row r="242" spans="6:9">
      <c r="F242" s="29" t="s">
        <v>16</v>
      </c>
      <c r="G242" s="30" t="s">
        <v>652</v>
      </c>
      <c r="H242" s="30" t="s">
        <v>654</v>
      </c>
      <c r="I242" s="31">
        <v>7190</v>
      </c>
    </row>
    <row r="243" spans="6:9">
      <c r="F243" s="29" t="s">
        <v>16</v>
      </c>
      <c r="G243" s="30" t="s">
        <v>662</v>
      </c>
      <c r="H243" s="30" t="s">
        <v>679</v>
      </c>
      <c r="I243" s="31">
        <v>5986</v>
      </c>
    </row>
    <row r="244" spans="6:9">
      <c r="F244" s="29" t="s">
        <v>16</v>
      </c>
      <c r="G244" s="30" t="s">
        <v>662</v>
      </c>
      <c r="H244" s="30" t="s">
        <v>663</v>
      </c>
      <c r="I244" s="31">
        <v>8143</v>
      </c>
    </row>
    <row r="245" spans="6:9">
      <c r="F245" s="29" t="s">
        <v>111</v>
      </c>
      <c r="G245" s="30" t="s">
        <v>659</v>
      </c>
      <c r="H245" s="30" t="s">
        <v>655</v>
      </c>
      <c r="I245" s="31">
        <v>8838</v>
      </c>
    </row>
    <row r="246" spans="6:9">
      <c r="F246" s="29" t="s">
        <v>111</v>
      </c>
      <c r="G246" s="30" t="s">
        <v>670</v>
      </c>
      <c r="H246" s="30" t="s">
        <v>669</v>
      </c>
      <c r="I246" s="31">
        <v>6295</v>
      </c>
    </row>
    <row r="247" spans="6:9">
      <c r="F247" s="29" t="s">
        <v>14</v>
      </c>
      <c r="G247" s="30" t="s">
        <v>659</v>
      </c>
      <c r="H247" s="30" t="s">
        <v>661</v>
      </c>
      <c r="I247" s="31">
        <v>3200</v>
      </c>
    </row>
    <row r="248" spans="6:9">
      <c r="F248" s="29" t="s">
        <v>111</v>
      </c>
      <c r="G248" s="30" t="s">
        <v>657</v>
      </c>
      <c r="H248" s="30" t="s">
        <v>681</v>
      </c>
      <c r="I248" s="31">
        <v>7334</v>
      </c>
    </row>
    <row r="249" spans="6:9">
      <c r="F249" s="29" t="s">
        <v>10</v>
      </c>
      <c r="G249" s="30" t="s">
        <v>657</v>
      </c>
      <c r="H249" s="30" t="s">
        <v>680</v>
      </c>
      <c r="I249" s="31">
        <v>5973</v>
      </c>
    </row>
    <row r="250" spans="6:9">
      <c r="F250" s="29" t="s">
        <v>10</v>
      </c>
      <c r="G250" s="30" t="s">
        <v>649</v>
      </c>
      <c r="H250" s="30" t="s">
        <v>651</v>
      </c>
      <c r="I250" s="31">
        <v>9277</v>
      </c>
    </row>
    <row r="251" spans="6:9">
      <c r="F251" s="29" t="s">
        <v>10</v>
      </c>
      <c r="G251" s="30" t="s">
        <v>657</v>
      </c>
      <c r="H251" s="30" t="s">
        <v>678</v>
      </c>
      <c r="I251" s="31">
        <v>9596</v>
      </c>
    </row>
    <row r="252" spans="6:9">
      <c r="F252" s="29" t="s">
        <v>14</v>
      </c>
      <c r="G252" s="30" t="s">
        <v>657</v>
      </c>
      <c r="H252" s="30" t="s">
        <v>678</v>
      </c>
      <c r="I252" s="31">
        <v>8785</v>
      </c>
    </row>
    <row r="253" spans="6:9">
      <c r="F253" s="29" t="s">
        <v>16</v>
      </c>
      <c r="G253" s="30" t="s">
        <v>659</v>
      </c>
      <c r="H253" s="30" t="s">
        <v>654</v>
      </c>
      <c r="I253" s="31">
        <v>9588</v>
      </c>
    </row>
    <row r="254" spans="6:9">
      <c r="F254" s="29" t="s">
        <v>10</v>
      </c>
      <c r="G254" s="30" t="s">
        <v>666</v>
      </c>
      <c r="H254" s="30" t="s">
        <v>667</v>
      </c>
      <c r="I254" s="31">
        <v>7471</v>
      </c>
    </row>
    <row r="255" spans="6:9">
      <c r="F255" s="29" t="s">
        <v>14</v>
      </c>
      <c r="G255" s="30" t="s">
        <v>670</v>
      </c>
      <c r="H255" s="30" t="s">
        <v>664</v>
      </c>
      <c r="I255" s="31">
        <v>3633</v>
      </c>
    </row>
    <row r="256" spans="6:9">
      <c r="F256" s="29" t="s">
        <v>16</v>
      </c>
      <c r="G256" s="30" t="s">
        <v>671</v>
      </c>
      <c r="H256" s="30" t="s">
        <v>674</v>
      </c>
      <c r="I256" s="31">
        <v>1645</v>
      </c>
    </row>
    <row r="257" spans="6:9">
      <c r="F257" s="29" t="s">
        <v>111</v>
      </c>
      <c r="G257" s="30" t="s">
        <v>670</v>
      </c>
      <c r="H257" s="30" t="s">
        <v>661</v>
      </c>
      <c r="I257" s="31">
        <v>4892</v>
      </c>
    </row>
    <row r="258" spans="6:9">
      <c r="F258" s="29" t="s">
        <v>16</v>
      </c>
      <c r="G258" s="30" t="s">
        <v>657</v>
      </c>
      <c r="H258" s="30" t="s">
        <v>681</v>
      </c>
      <c r="I258" s="31">
        <v>1167</v>
      </c>
    </row>
    <row r="259" spans="6:9">
      <c r="F259" s="29" t="s">
        <v>111</v>
      </c>
      <c r="G259" s="30" t="s">
        <v>657</v>
      </c>
      <c r="H259" s="30" t="s">
        <v>680</v>
      </c>
      <c r="I259" s="31">
        <v>609</v>
      </c>
    </row>
    <row r="260" spans="6:9">
      <c r="F260" s="29" t="s">
        <v>14</v>
      </c>
      <c r="G260" s="30" t="s">
        <v>660</v>
      </c>
      <c r="H260" s="30" t="s">
        <v>665</v>
      </c>
      <c r="I260" s="31">
        <v>4700</v>
      </c>
    </row>
    <row r="261" spans="6:9">
      <c r="F261" s="29" t="s">
        <v>111</v>
      </c>
      <c r="G261" s="30" t="s">
        <v>657</v>
      </c>
      <c r="H261" s="30" t="s">
        <v>681</v>
      </c>
      <c r="I261" s="31">
        <v>5272</v>
      </c>
    </row>
    <row r="262" spans="6:9">
      <c r="F262" s="29" t="s">
        <v>16</v>
      </c>
      <c r="G262" s="30" t="s">
        <v>660</v>
      </c>
      <c r="H262" s="30" t="s">
        <v>668</v>
      </c>
      <c r="I262" s="31">
        <v>1558</v>
      </c>
    </row>
    <row r="263" spans="6:9">
      <c r="F263" s="29" t="s">
        <v>111</v>
      </c>
      <c r="G263" s="30" t="s">
        <v>659</v>
      </c>
      <c r="H263" s="30" t="s">
        <v>655</v>
      </c>
      <c r="I263" s="31">
        <v>1049</v>
      </c>
    </row>
    <row r="264" spans="6:9">
      <c r="F264" s="29" t="s">
        <v>10</v>
      </c>
      <c r="G264" s="30" t="s">
        <v>670</v>
      </c>
      <c r="H264" s="30" t="s">
        <v>674</v>
      </c>
      <c r="I264" s="31">
        <v>4306</v>
      </c>
    </row>
    <row r="265" spans="6:9">
      <c r="F265" s="29" t="s">
        <v>16</v>
      </c>
      <c r="G265" s="30" t="s">
        <v>657</v>
      </c>
      <c r="H265" s="30" t="s">
        <v>678</v>
      </c>
      <c r="I265" s="31">
        <v>3477</v>
      </c>
    </row>
    <row r="266" spans="6:9">
      <c r="F266" s="29" t="s">
        <v>111</v>
      </c>
      <c r="G266" s="30" t="s">
        <v>670</v>
      </c>
      <c r="H266" s="30" t="s">
        <v>661</v>
      </c>
      <c r="I266" s="31">
        <v>9389</v>
      </c>
    </row>
    <row r="267" spans="6:9">
      <c r="F267" s="29" t="s">
        <v>10</v>
      </c>
      <c r="G267" s="30" t="s">
        <v>660</v>
      </c>
      <c r="H267" s="30" t="s">
        <v>665</v>
      </c>
      <c r="I267" s="31">
        <v>6142</v>
      </c>
    </row>
    <row r="268" spans="6:9">
      <c r="F268" s="29" t="s">
        <v>10</v>
      </c>
      <c r="G268" s="30" t="s">
        <v>666</v>
      </c>
      <c r="H268" s="30" t="s">
        <v>673</v>
      </c>
      <c r="I268" s="31">
        <v>5373</v>
      </c>
    </row>
    <row r="269" spans="6:9">
      <c r="F269" s="29" t="s">
        <v>16</v>
      </c>
      <c r="G269" s="30" t="s">
        <v>649</v>
      </c>
      <c r="H269" s="30" t="s">
        <v>648</v>
      </c>
      <c r="I269" s="31">
        <v>3414</v>
      </c>
    </row>
    <row r="270" spans="6:9">
      <c r="F270" s="29" t="s">
        <v>10</v>
      </c>
      <c r="G270" s="30" t="s">
        <v>660</v>
      </c>
      <c r="H270" s="30" t="s">
        <v>664</v>
      </c>
      <c r="I270" s="31">
        <v>2966</v>
      </c>
    </row>
    <row r="271" spans="6:9">
      <c r="F271" s="29" t="s">
        <v>16</v>
      </c>
      <c r="G271" s="30" t="s">
        <v>649</v>
      </c>
      <c r="H271" s="30" t="s">
        <v>655</v>
      </c>
      <c r="I271" s="31">
        <v>9403</v>
      </c>
    </row>
    <row r="272" spans="6:9">
      <c r="F272" s="29" t="s">
        <v>14</v>
      </c>
      <c r="G272" s="30" t="s">
        <v>670</v>
      </c>
      <c r="H272" s="30" t="s">
        <v>674</v>
      </c>
      <c r="I272" s="31">
        <v>9239</v>
      </c>
    </row>
    <row r="273" spans="6:9">
      <c r="F273" s="29" t="s">
        <v>111</v>
      </c>
      <c r="G273" s="30" t="s">
        <v>670</v>
      </c>
      <c r="H273" s="30" t="s">
        <v>669</v>
      </c>
      <c r="I273" s="31">
        <v>7208</v>
      </c>
    </row>
    <row r="274" spans="6:9">
      <c r="F274" s="29" t="s">
        <v>16</v>
      </c>
      <c r="G274" s="30" t="s">
        <v>657</v>
      </c>
      <c r="H274" s="30" t="s">
        <v>658</v>
      </c>
      <c r="I274" s="31">
        <v>9372</v>
      </c>
    </row>
    <row r="275" spans="6:9">
      <c r="F275" s="29" t="s">
        <v>10</v>
      </c>
      <c r="G275" s="30" t="s">
        <v>649</v>
      </c>
      <c r="H275" s="30" t="s">
        <v>655</v>
      </c>
      <c r="I275" s="31">
        <v>2375</v>
      </c>
    </row>
    <row r="276" spans="6:9">
      <c r="F276" s="29" t="s">
        <v>16</v>
      </c>
      <c r="G276" s="30" t="s">
        <v>649</v>
      </c>
      <c r="H276" s="30" t="s">
        <v>655</v>
      </c>
      <c r="I276" s="31">
        <v>4895</v>
      </c>
    </row>
    <row r="277" spans="6:9">
      <c r="F277" s="29" t="s">
        <v>10</v>
      </c>
      <c r="G277" s="30" t="s">
        <v>662</v>
      </c>
      <c r="H277" s="30" t="s">
        <v>679</v>
      </c>
      <c r="I277" s="31">
        <v>394</v>
      </c>
    </row>
    <row r="278" spans="6:9">
      <c r="F278" s="29" t="s">
        <v>16</v>
      </c>
      <c r="G278" s="30" t="s">
        <v>659</v>
      </c>
      <c r="H278" s="30" t="s">
        <v>661</v>
      </c>
      <c r="I278" s="31">
        <v>9675</v>
      </c>
    </row>
    <row r="279" spans="6:9">
      <c r="F279" s="29" t="s">
        <v>16</v>
      </c>
      <c r="G279" s="30" t="s">
        <v>662</v>
      </c>
      <c r="H279" s="30" t="s">
        <v>676</v>
      </c>
      <c r="I279" s="31">
        <v>4325</v>
      </c>
    </row>
    <row r="280" spans="6:9">
      <c r="F280" s="29" t="s">
        <v>111</v>
      </c>
      <c r="G280" s="30" t="s">
        <v>657</v>
      </c>
      <c r="H280" s="30" t="s">
        <v>681</v>
      </c>
      <c r="I280" s="31">
        <v>1350</v>
      </c>
    </row>
    <row r="281" spans="6:9">
      <c r="F281" s="29" t="s">
        <v>10</v>
      </c>
      <c r="G281" s="30" t="s">
        <v>649</v>
      </c>
      <c r="H281" s="30" t="s">
        <v>651</v>
      </c>
      <c r="I281" s="31">
        <v>9099</v>
      </c>
    </row>
    <row r="282" spans="6:9">
      <c r="F282" s="29" t="s">
        <v>14</v>
      </c>
      <c r="G282" s="30" t="s">
        <v>671</v>
      </c>
      <c r="H282" s="30" t="s">
        <v>672</v>
      </c>
      <c r="I282" s="31">
        <v>4854</v>
      </c>
    </row>
    <row r="283" spans="6:9">
      <c r="F283" s="29" t="s">
        <v>10</v>
      </c>
      <c r="G283" s="30" t="s">
        <v>666</v>
      </c>
      <c r="H283" s="30" t="s">
        <v>677</v>
      </c>
      <c r="I283" s="31">
        <v>618</v>
      </c>
    </row>
    <row r="284" spans="6:9">
      <c r="F284" s="29" t="s">
        <v>10</v>
      </c>
      <c r="G284" s="30" t="s">
        <v>657</v>
      </c>
      <c r="H284" s="30" t="s">
        <v>658</v>
      </c>
      <c r="I284" s="31">
        <v>1475</v>
      </c>
    </row>
    <row r="285" spans="6:9">
      <c r="F285" s="29" t="s">
        <v>111</v>
      </c>
      <c r="G285" s="30" t="s">
        <v>657</v>
      </c>
      <c r="H285" s="30" t="s">
        <v>678</v>
      </c>
      <c r="I285" s="31">
        <v>9598</v>
      </c>
    </row>
    <row r="286" spans="6:9">
      <c r="F286" s="29" t="s">
        <v>111</v>
      </c>
      <c r="G286" s="30" t="s">
        <v>660</v>
      </c>
      <c r="H286" s="30" t="s">
        <v>664</v>
      </c>
      <c r="I286" s="31">
        <v>6839</v>
      </c>
    </row>
    <row r="287" spans="6:9">
      <c r="F287" s="29" t="s">
        <v>16</v>
      </c>
      <c r="G287" s="30" t="s">
        <v>652</v>
      </c>
      <c r="H287" s="30" t="s">
        <v>654</v>
      </c>
      <c r="I287" s="31">
        <v>6665</v>
      </c>
    </row>
    <row r="288" spans="6:9">
      <c r="F288" s="29" t="s">
        <v>10</v>
      </c>
      <c r="G288" s="30" t="s">
        <v>657</v>
      </c>
      <c r="H288" s="30" t="s">
        <v>658</v>
      </c>
      <c r="I288" s="31">
        <v>6461</v>
      </c>
    </row>
    <row r="289" spans="6:9">
      <c r="F289" s="29" t="s">
        <v>16</v>
      </c>
      <c r="G289" s="30" t="s">
        <v>671</v>
      </c>
      <c r="H289" s="30" t="s">
        <v>674</v>
      </c>
      <c r="I289" s="31">
        <v>5699</v>
      </c>
    </row>
    <row r="290" spans="6:9">
      <c r="F290" s="29" t="s">
        <v>14</v>
      </c>
      <c r="G290" s="30" t="s">
        <v>657</v>
      </c>
      <c r="H290" s="30" t="s">
        <v>658</v>
      </c>
      <c r="I290" s="31">
        <v>917</v>
      </c>
    </row>
    <row r="291" spans="6:9">
      <c r="F291" s="29" t="s">
        <v>10</v>
      </c>
      <c r="G291" s="30" t="s">
        <v>671</v>
      </c>
      <c r="H291" s="30" t="s">
        <v>672</v>
      </c>
      <c r="I291" s="31">
        <v>9140</v>
      </c>
    </row>
    <row r="292" spans="6:9">
      <c r="F292" s="29" t="s">
        <v>16</v>
      </c>
      <c r="G292" s="30" t="s">
        <v>660</v>
      </c>
      <c r="H292" s="30" t="s">
        <v>668</v>
      </c>
      <c r="I292" s="31">
        <v>7203</v>
      </c>
    </row>
    <row r="293" spans="6:9">
      <c r="F293" s="29" t="s">
        <v>10</v>
      </c>
      <c r="G293" s="30" t="s">
        <v>659</v>
      </c>
      <c r="H293" s="30" t="s">
        <v>655</v>
      </c>
      <c r="I293" s="31">
        <v>4030</v>
      </c>
    </row>
    <row r="294" spans="6:9">
      <c r="F294" s="29" t="s">
        <v>14</v>
      </c>
      <c r="G294" s="30" t="s">
        <v>670</v>
      </c>
      <c r="H294" s="30" t="s">
        <v>674</v>
      </c>
      <c r="I294" s="31">
        <v>9892</v>
      </c>
    </row>
    <row r="295" spans="6:9">
      <c r="F295" s="29" t="s">
        <v>10</v>
      </c>
      <c r="G295" s="30" t="s">
        <v>671</v>
      </c>
      <c r="H295" s="30" t="s">
        <v>674</v>
      </c>
      <c r="I295" s="31">
        <v>8076</v>
      </c>
    </row>
    <row r="296" spans="6:9">
      <c r="F296" s="29" t="s">
        <v>16</v>
      </c>
      <c r="G296" s="30" t="s">
        <v>671</v>
      </c>
      <c r="H296" s="30" t="s">
        <v>675</v>
      </c>
      <c r="I296" s="31">
        <v>7216</v>
      </c>
    </row>
    <row r="297" spans="6:9">
      <c r="F297" s="29" t="s">
        <v>111</v>
      </c>
      <c r="G297" s="30" t="s">
        <v>659</v>
      </c>
      <c r="H297" s="30" t="s">
        <v>654</v>
      </c>
      <c r="I297" s="31">
        <v>613</v>
      </c>
    </row>
    <row r="298" spans="6:9">
      <c r="F298" s="29" t="s">
        <v>111</v>
      </c>
      <c r="G298" s="30" t="s">
        <v>662</v>
      </c>
      <c r="H298" s="30" t="s">
        <v>679</v>
      </c>
      <c r="I298" s="31">
        <v>882</v>
      </c>
    </row>
    <row r="299" spans="6:9">
      <c r="F299" s="29" t="s">
        <v>111</v>
      </c>
      <c r="G299" s="30" t="s">
        <v>671</v>
      </c>
      <c r="H299" s="30" t="s">
        <v>672</v>
      </c>
      <c r="I299" s="31">
        <v>8140</v>
      </c>
    </row>
    <row r="300" spans="6:9">
      <c r="F300" s="29" t="s">
        <v>111</v>
      </c>
      <c r="G300" s="30" t="s">
        <v>657</v>
      </c>
      <c r="H300" s="30" t="s">
        <v>680</v>
      </c>
      <c r="I300" s="31">
        <v>7830</v>
      </c>
    </row>
    <row r="301" spans="6:9">
      <c r="F301" s="29" t="s">
        <v>111</v>
      </c>
      <c r="G301" s="30" t="s">
        <v>652</v>
      </c>
      <c r="H301" s="30" t="s">
        <v>654</v>
      </c>
      <c r="I301" s="31">
        <v>9251</v>
      </c>
    </row>
    <row r="302" spans="6:9">
      <c r="F302" s="29" t="s">
        <v>16</v>
      </c>
      <c r="G302" s="30" t="s">
        <v>666</v>
      </c>
      <c r="H302" s="30" t="s">
        <v>667</v>
      </c>
      <c r="I302" s="31">
        <v>7816</v>
      </c>
    </row>
    <row r="303" spans="6:9">
      <c r="F303" s="29" t="s">
        <v>10</v>
      </c>
      <c r="G303" s="30" t="s">
        <v>666</v>
      </c>
      <c r="H303" s="30" t="s">
        <v>673</v>
      </c>
      <c r="I303" s="31">
        <v>6824</v>
      </c>
    </row>
    <row r="304" spans="6:9">
      <c r="F304" s="29" t="s">
        <v>16</v>
      </c>
      <c r="G304" s="30" t="s">
        <v>660</v>
      </c>
      <c r="H304" s="30" t="s">
        <v>661</v>
      </c>
      <c r="I304" s="31">
        <v>8581</v>
      </c>
    </row>
    <row r="305" spans="6:9">
      <c r="F305" s="29" t="s">
        <v>111</v>
      </c>
      <c r="G305" s="30" t="s">
        <v>657</v>
      </c>
      <c r="H305" s="30" t="s">
        <v>681</v>
      </c>
      <c r="I305" s="31">
        <v>3404</v>
      </c>
    </row>
    <row r="306" spans="6:9">
      <c r="F306" s="29" t="s">
        <v>111</v>
      </c>
      <c r="G306" s="30" t="s">
        <v>657</v>
      </c>
      <c r="H306" s="30" t="s">
        <v>681</v>
      </c>
      <c r="I306" s="31">
        <v>3799</v>
      </c>
    </row>
    <row r="307" spans="6:9">
      <c r="F307" s="29" t="s">
        <v>16</v>
      </c>
      <c r="G307" s="30" t="s">
        <v>660</v>
      </c>
      <c r="H307" s="30" t="s">
        <v>665</v>
      </c>
      <c r="I307" s="31">
        <v>5869</v>
      </c>
    </row>
    <row r="308" spans="6:9">
      <c r="F308" s="29" t="s">
        <v>14</v>
      </c>
      <c r="G308" s="30" t="s">
        <v>652</v>
      </c>
      <c r="H308" s="30" t="s">
        <v>653</v>
      </c>
      <c r="I308" s="31">
        <v>1757</v>
      </c>
    </row>
    <row r="309" spans="6:9">
      <c r="F309" s="29" t="s">
        <v>10</v>
      </c>
      <c r="G309" s="30" t="s">
        <v>660</v>
      </c>
      <c r="H309" s="30" t="s">
        <v>668</v>
      </c>
      <c r="I309" s="31">
        <v>2102</v>
      </c>
    </row>
    <row r="310" spans="6:9">
      <c r="F310" s="29" t="s">
        <v>111</v>
      </c>
      <c r="G310" s="30" t="s">
        <v>666</v>
      </c>
      <c r="H310" s="30" t="s">
        <v>673</v>
      </c>
      <c r="I310" s="31">
        <v>2598</v>
      </c>
    </row>
    <row r="311" spans="6:9">
      <c r="F311" s="29" t="s">
        <v>10</v>
      </c>
      <c r="G311" s="30" t="s">
        <v>652</v>
      </c>
      <c r="H311" s="30" t="s">
        <v>653</v>
      </c>
      <c r="I311" s="31">
        <v>7539</v>
      </c>
    </row>
    <row r="312" spans="6:9">
      <c r="F312" s="29" t="s">
        <v>14</v>
      </c>
      <c r="G312" s="30" t="s">
        <v>670</v>
      </c>
      <c r="H312" s="30" t="s">
        <v>661</v>
      </c>
      <c r="I312" s="31">
        <v>4263</v>
      </c>
    </row>
    <row r="313" spans="6:9">
      <c r="F313" s="29" t="s">
        <v>16</v>
      </c>
      <c r="G313" s="30" t="s">
        <v>659</v>
      </c>
      <c r="H313" s="30" t="s">
        <v>661</v>
      </c>
      <c r="I313" s="31">
        <v>8417</v>
      </c>
    </row>
    <row r="314" spans="6:9">
      <c r="F314" s="29" t="s">
        <v>16</v>
      </c>
      <c r="G314" s="30" t="s">
        <v>660</v>
      </c>
      <c r="H314" s="30" t="s">
        <v>665</v>
      </c>
      <c r="I314" s="31">
        <v>4045</v>
      </c>
    </row>
    <row r="315" spans="6:9">
      <c r="F315" s="29" t="s">
        <v>111</v>
      </c>
      <c r="G315" s="30" t="s">
        <v>652</v>
      </c>
      <c r="H315" s="30" t="s">
        <v>654</v>
      </c>
      <c r="I315" s="31">
        <v>983</v>
      </c>
    </row>
    <row r="316" spans="6:9">
      <c r="F316" s="29" t="s">
        <v>14</v>
      </c>
      <c r="G316" s="30" t="s">
        <v>659</v>
      </c>
      <c r="H316" s="30" t="s">
        <v>655</v>
      </c>
      <c r="I316" s="31">
        <v>9409</v>
      </c>
    </row>
    <row r="317" spans="6:9">
      <c r="F317" s="29" t="s">
        <v>14</v>
      </c>
      <c r="G317" s="30" t="s">
        <v>657</v>
      </c>
      <c r="H317" s="30" t="s">
        <v>681</v>
      </c>
      <c r="I317" s="31">
        <v>7004</v>
      </c>
    </row>
    <row r="318" spans="6:9">
      <c r="F318" s="29" t="s">
        <v>111</v>
      </c>
      <c r="G318" s="30" t="s">
        <v>670</v>
      </c>
      <c r="H318" s="30" t="s">
        <v>674</v>
      </c>
      <c r="I318" s="31">
        <v>6323</v>
      </c>
    </row>
    <row r="319" spans="6:9">
      <c r="F319" s="29" t="s">
        <v>14</v>
      </c>
      <c r="G319" s="30" t="s">
        <v>671</v>
      </c>
      <c r="H319" s="30" t="s">
        <v>672</v>
      </c>
      <c r="I319" s="31">
        <v>8714</v>
      </c>
    </row>
    <row r="320" spans="6:9">
      <c r="F320" s="29" t="s">
        <v>16</v>
      </c>
      <c r="G320" s="30" t="s">
        <v>660</v>
      </c>
      <c r="H320" s="30" t="s">
        <v>668</v>
      </c>
      <c r="I320" s="31">
        <v>6399</v>
      </c>
    </row>
    <row r="321" spans="6:9">
      <c r="F321" s="29" t="s">
        <v>10</v>
      </c>
      <c r="G321" s="30" t="s">
        <v>671</v>
      </c>
      <c r="H321" s="30" t="s">
        <v>674</v>
      </c>
      <c r="I321" s="31">
        <v>5683</v>
      </c>
    </row>
    <row r="322" spans="6:9">
      <c r="F322" s="29" t="s">
        <v>16</v>
      </c>
      <c r="G322" s="30" t="s">
        <v>662</v>
      </c>
      <c r="H322" s="30" t="s">
        <v>679</v>
      </c>
      <c r="I322" s="31">
        <v>4948</v>
      </c>
    </row>
    <row r="323" spans="6:9">
      <c r="F323" s="29" t="s">
        <v>111</v>
      </c>
      <c r="G323" s="30" t="s">
        <v>657</v>
      </c>
      <c r="H323" s="30" t="s">
        <v>680</v>
      </c>
      <c r="I323" s="31">
        <v>8497</v>
      </c>
    </row>
    <row r="324" spans="6:9">
      <c r="F324" s="29" t="s">
        <v>16</v>
      </c>
      <c r="G324" s="30" t="s">
        <v>649</v>
      </c>
      <c r="H324" s="30" t="s">
        <v>648</v>
      </c>
      <c r="I324" s="31">
        <v>8205</v>
      </c>
    </row>
    <row r="325" spans="6:9">
      <c r="F325" s="29" t="s">
        <v>14</v>
      </c>
      <c r="G325" s="30" t="s">
        <v>670</v>
      </c>
      <c r="H325" s="30" t="s">
        <v>664</v>
      </c>
      <c r="I325" s="31">
        <v>6878</v>
      </c>
    </row>
    <row r="326" spans="6:9">
      <c r="F326" s="29" t="s">
        <v>16</v>
      </c>
      <c r="G326" s="30" t="s">
        <v>660</v>
      </c>
      <c r="H326" s="30" t="s">
        <v>665</v>
      </c>
      <c r="I326" s="31">
        <v>546</v>
      </c>
    </row>
    <row r="327" spans="6:9">
      <c r="F327" s="29" t="s">
        <v>16</v>
      </c>
      <c r="G327" s="30" t="s">
        <v>657</v>
      </c>
      <c r="H327" s="30" t="s">
        <v>678</v>
      </c>
      <c r="I327" s="31">
        <v>1574</v>
      </c>
    </row>
    <row r="328" spans="6:9">
      <c r="F328" s="29" t="s">
        <v>16</v>
      </c>
      <c r="G328" s="30" t="s">
        <v>660</v>
      </c>
      <c r="H328" s="30" t="s">
        <v>668</v>
      </c>
      <c r="I328" s="31">
        <v>8077</v>
      </c>
    </row>
    <row r="329" spans="6:9">
      <c r="F329" s="29" t="s">
        <v>10</v>
      </c>
      <c r="G329" s="30" t="s">
        <v>670</v>
      </c>
      <c r="H329" s="30" t="s">
        <v>669</v>
      </c>
      <c r="I329" s="31">
        <v>6649</v>
      </c>
    </row>
    <row r="330" spans="6:9">
      <c r="F330" s="29" t="s">
        <v>111</v>
      </c>
      <c r="G330" s="30" t="s">
        <v>662</v>
      </c>
      <c r="H330" s="30" t="s">
        <v>663</v>
      </c>
      <c r="I330" s="31">
        <v>7816</v>
      </c>
    </row>
    <row r="331" spans="6:9">
      <c r="F331" s="29" t="s">
        <v>111</v>
      </c>
      <c r="G331" s="30" t="s">
        <v>659</v>
      </c>
      <c r="H331" s="30" t="s">
        <v>654</v>
      </c>
      <c r="I331" s="31">
        <v>4978</v>
      </c>
    </row>
    <row r="332" spans="6:9">
      <c r="F332" s="29" t="s">
        <v>16</v>
      </c>
      <c r="G332" s="30" t="s">
        <v>666</v>
      </c>
      <c r="H332" s="30" t="s">
        <v>667</v>
      </c>
      <c r="I332" s="31">
        <v>3044</v>
      </c>
    </row>
    <row r="333" spans="6:9">
      <c r="F333" s="29" t="s">
        <v>14</v>
      </c>
      <c r="G333" s="30" t="s">
        <v>671</v>
      </c>
      <c r="H333" s="30" t="s">
        <v>674</v>
      </c>
      <c r="I333" s="31">
        <v>9350</v>
      </c>
    </row>
    <row r="334" spans="6:9">
      <c r="F334" s="29" t="s">
        <v>111</v>
      </c>
      <c r="G334" s="30" t="s">
        <v>649</v>
      </c>
      <c r="H334" s="30" t="s">
        <v>651</v>
      </c>
      <c r="I334" s="31">
        <v>4601</v>
      </c>
    </row>
    <row r="335" spans="6:9">
      <c r="F335" s="29" t="s">
        <v>111</v>
      </c>
      <c r="G335" s="30" t="s">
        <v>649</v>
      </c>
      <c r="H335" s="30" t="s">
        <v>651</v>
      </c>
      <c r="I335" s="31">
        <v>5973</v>
      </c>
    </row>
    <row r="336" spans="6:9">
      <c r="F336" s="29" t="s">
        <v>10</v>
      </c>
      <c r="G336" s="30" t="s">
        <v>670</v>
      </c>
      <c r="H336" s="30" t="s">
        <v>664</v>
      </c>
      <c r="I336" s="31">
        <v>7189</v>
      </c>
    </row>
    <row r="337" spans="6:9">
      <c r="F337" s="29" t="s">
        <v>14</v>
      </c>
      <c r="G337" s="30" t="s">
        <v>660</v>
      </c>
      <c r="H337" s="30" t="s">
        <v>668</v>
      </c>
      <c r="I337" s="31">
        <v>2833</v>
      </c>
    </row>
    <row r="338" spans="6:9">
      <c r="F338" s="29" t="s">
        <v>10</v>
      </c>
      <c r="G338" s="30" t="s">
        <v>660</v>
      </c>
      <c r="H338" s="30" t="s">
        <v>665</v>
      </c>
      <c r="I338" s="31">
        <v>6705</v>
      </c>
    </row>
    <row r="339" spans="6:9">
      <c r="F339" s="29" t="s">
        <v>10</v>
      </c>
      <c r="G339" s="30" t="s">
        <v>671</v>
      </c>
      <c r="H339" s="30" t="s">
        <v>674</v>
      </c>
      <c r="I339" s="31">
        <v>1846</v>
      </c>
    </row>
    <row r="340" spans="6:9">
      <c r="F340" s="29" t="s">
        <v>10</v>
      </c>
      <c r="G340" s="30" t="s">
        <v>666</v>
      </c>
      <c r="H340" s="30" t="s">
        <v>667</v>
      </c>
      <c r="I340" s="31">
        <v>9744</v>
      </c>
    </row>
    <row r="341" spans="6:9">
      <c r="F341" s="29" t="s">
        <v>16</v>
      </c>
      <c r="G341" s="30" t="s">
        <v>657</v>
      </c>
      <c r="H341" s="30" t="s">
        <v>681</v>
      </c>
      <c r="I341" s="31">
        <v>3977</v>
      </c>
    </row>
    <row r="342" spans="6:9">
      <c r="F342" s="29" t="s">
        <v>16</v>
      </c>
      <c r="G342" s="30" t="s">
        <v>652</v>
      </c>
      <c r="H342" s="30" t="s">
        <v>653</v>
      </c>
      <c r="I342" s="31">
        <v>5837</v>
      </c>
    </row>
    <row r="343" spans="6:9">
      <c r="F343" s="29" t="s">
        <v>10</v>
      </c>
      <c r="G343" s="30" t="s">
        <v>652</v>
      </c>
      <c r="H343" s="30" t="s">
        <v>653</v>
      </c>
      <c r="I343" s="31">
        <v>6636</v>
      </c>
    </row>
    <row r="344" spans="6:9">
      <c r="F344" s="29" t="s">
        <v>111</v>
      </c>
      <c r="G344" s="30" t="s">
        <v>652</v>
      </c>
      <c r="H344" s="30" t="s">
        <v>656</v>
      </c>
      <c r="I344" s="31">
        <v>9050</v>
      </c>
    </row>
    <row r="345" spans="6:9">
      <c r="F345" s="29" t="s">
        <v>10</v>
      </c>
      <c r="G345" s="30" t="s">
        <v>657</v>
      </c>
      <c r="H345" s="30" t="s">
        <v>680</v>
      </c>
      <c r="I345" s="31">
        <v>8781</v>
      </c>
    </row>
    <row r="346" spans="6:9">
      <c r="F346" s="29" t="s">
        <v>10</v>
      </c>
      <c r="G346" s="30" t="s">
        <v>662</v>
      </c>
      <c r="H346" s="30" t="s">
        <v>679</v>
      </c>
      <c r="I346" s="31">
        <v>4616</v>
      </c>
    </row>
    <row r="347" spans="6:9">
      <c r="F347" s="29" t="s">
        <v>16</v>
      </c>
      <c r="G347" s="30" t="s">
        <v>652</v>
      </c>
      <c r="H347" s="30" t="s">
        <v>656</v>
      </c>
      <c r="I347" s="31">
        <v>286</v>
      </c>
    </row>
    <row r="348" spans="6:9">
      <c r="F348" s="29" t="s">
        <v>10</v>
      </c>
      <c r="G348" s="30" t="s">
        <v>660</v>
      </c>
      <c r="H348" s="30" t="s">
        <v>661</v>
      </c>
      <c r="I348" s="31">
        <v>4788</v>
      </c>
    </row>
    <row r="349" spans="6:9">
      <c r="F349" s="29" t="s">
        <v>10</v>
      </c>
      <c r="G349" s="30" t="s">
        <v>662</v>
      </c>
      <c r="H349" s="30" t="s">
        <v>663</v>
      </c>
      <c r="I349" s="31">
        <v>4668</v>
      </c>
    </row>
    <row r="350" spans="6:9">
      <c r="F350" s="29" t="s">
        <v>111</v>
      </c>
      <c r="G350" s="30" t="s">
        <v>666</v>
      </c>
      <c r="H350" s="30" t="s">
        <v>667</v>
      </c>
      <c r="I350" s="31">
        <v>5413</v>
      </c>
    </row>
    <row r="351" spans="6:9">
      <c r="F351" s="29" t="s">
        <v>111</v>
      </c>
      <c r="G351" s="30" t="s">
        <v>671</v>
      </c>
      <c r="H351" s="30" t="s">
        <v>672</v>
      </c>
      <c r="I351" s="31">
        <v>9756</v>
      </c>
    </row>
    <row r="352" spans="6:9">
      <c r="F352" s="29" t="s">
        <v>111</v>
      </c>
      <c r="G352" s="30" t="s">
        <v>659</v>
      </c>
      <c r="H352" s="30" t="s">
        <v>655</v>
      </c>
      <c r="I352" s="31">
        <v>9068</v>
      </c>
    </row>
    <row r="353" spans="6:9">
      <c r="F353" s="29" t="s">
        <v>10</v>
      </c>
      <c r="G353" s="30" t="s">
        <v>660</v>
      </c>
      <c r="H353" s="30" t="s">
        <v>664</v>
      </c>
      <c r="I353" s="31">
        <v>9190</v>
      </c>
    </row>
    <row r="354" spans="6:9">
      <c r="F354" s="29" t="s">
        <v>10</v>
      </c>
      <c r="G354" s="30" t="s">
        <v>649</v>
      </c>
      <c r="H354" s="30" t="s">
        <v>648</v>
      </c>
      <c r="I354" s="31">
        <v>1904</v>
      </c>
    </row>
    <row r="355" spans="6:9">
      <c r="F355" s="29" t="s">
        <v>14</v>
      </c>
      <c r="G355" s="30" t="s">
        <v>652</v>
      </c>
      <c r="H355" s="30" t="s">
        <v>653</v>
      </c>
      <c r="I355" s="31">
        <v>5943</v>
      </c>
    </row>
    <row r="356" spans="6:9">
      <c r="F356" s="29" t="s">
        <v>16</v>
      </c>
      <c r="G356" s="30" t="s">
        <v>660</v>
      </c>
      <c r="H356" s="30" t="s">
        <v>668</v>
      </c>
      <c r="I356" s="31">
        <v>9064</v>
      </c>
    </row>
    <row r="357" spans="6:9">
      <c r="F357" s="29" t="s">
        <v>111</v>
      </c>
      <c r="G357" s="30" t="s">
        <v>659</v>
      </c>
      <c r="H357" s="30" t="s">
        <v>655</v>
      </c>
      <c r="I357" s="31">
        <v>1567</v>
      </c>
    </row>
    <row r="358" spans="6:9">
      <c r="F358" s="29" t="s">
        <v>14</v>
      </c>
      <c r="G358" s="30" t="s">
        <v>659</v>
      </c>
      <c r="H358" s="30" t="s">
        <v>655</v>
      </c>
      <c r="I358" s="31">
        <v>7243</v>
      </c>
    </row>
    <row r="359" spans="6:9">
      <c r="F359" s="29" t="s">
        <v>14</v>
      </c>
      <c r="G359" s="30" t="s">
        <v>666</v>
      </c>
      <c r="H359" s="30" t="s">
        <v>667</v>
      </c>
      <c r="I359" s="31">
        <v>8048</v>
      </c>
    </row>
    <row r="360" spans="6:9">
      <c r="F360" s="29" t="s">
        <v>14</v>
      </c>
      <c r="G360" s="30" t="s">
        <v>670</v>
      </c>
      <c r="H360" s="30" t="s">
        <v>674</v>
      </c>
      <c r="I360" s="31">
        <v>1856</v>
      </c>
    </row>
    <row r="361" spans="6:9">
      <c r="F361" s="29" t="s">
        <v>16</v>
      </c>
      <c r="G361" s="30" t="s">
        <v>671</v>
      </c>
      <c r="H361" s="30" t="s">
        <v>675</v>
      </c>
      <c r="I361" s="31">
        <v>343</v>
      </c>
    </row>
    <row r="362" spans="6:9">
      <c r="F362" s="29" t="s">
        <v>111</v>
      </c>
      <c r="G362" s="30" t="s">
        <v>660</v>
      </c>
      <c r="H362" s="30" t="s">
        <v>665</v>
      </c>
      <c r="I362" s="31">
        <v>2604</v>
      </c>
    </row>
    <row r="363" spans="6:9">
      <c r="F363" s="29" t="s">
        <v>14</v>
      </c>
      <c r="G363" s="30" t="s">
        <v>652</v>
      </c>
      <c r="H363" s="30" t="s">
        <v>654</v>
      </c>
      <c r="I363" s="31">
        <v>308</v>
      </c>
    </row>
    <row r="364" spans="6:9">
      <c r="F364" s="29" t="s">
        <v>10</v>
      </c>
      <c r="G364" s="30" t="s">
        <v>652</v>
      </c>
      <c r="H364" s="30" t="s">
        <v>656</v>
      </c>
      <c r="I364" s="31">
        <v>3730</v>
      </c>
    </row>
    <row r="365" spans="6:9">
      <c r="F365" s="29" t="s">
        <v>111</v>
      </c>
      <c r="G365" s="30" t="s">
        <v>666</v>
      </c>
      <c r="H365" s="30" t="s">
        <v>677</v>
      </c>
      <c r="I365" s="31">
        <v>6650</v>
      </c>
    </row>
    <row r="366" spans="6:9">
      <c r="F366" s="29" t="s">
        <v>16</v>
      </c>
      <c r="G366" s="30" t="s">
        <v>660</v>
      </c>
      <c r="H366" s="30" t="s">
        <v>665</v>
      </c>
      <c r="I366" s="31">
        <v>7008</v>
      </c>
    </row>
    <row r="367" spans="6:9">
      <c r="F367" s="29" t="s">
        <v>16</v>
      </c>
      <c r="G367" s="30" t="s">
        <v>660</v>
      </c>
      <c r="H367" s="30" t="s">
        <v>661</v>
      </c>
      <c r="I367" s="31">
        <v>8779</v>
      </c>
    </row>
    <row r="368" spans="6:9">
      <c r="F368" s="29" t="s">
        <v>14</v>
      </c>
      <c r="G368" s="30" t="s">
        <v>671</v>
      </c>
      <c r="H368" s="30" t="s">
        <v>675</v>
      </c>
      <c r="I368" s="31">
        <v>3999</v>
      </c>
    </row>
    <row r="369" spans="6:9">
      <c r="F369" s="29" t="s">
        <v>10</v>
      </c>
      <c r="G369" s="30" t="s">
        <v>660</v>
      </c>
      <c r="H369" s="30" t="s">
        <v>668</v>
      </c>
      <c r="I369" s="31">
        <v>2516</v>
      </c>
    </row>
    <row r="370" spans="6:9">
      <c r="F370" s="29" t="s">
        <v>16</v>
      </c>
      <c r="G370" s="30" t="s">
        <v>660</v>
      </c>
      <c r="H370" s="30" t="s">
        <v>665</v>
      </c>
      <c r="I370" s="31">
        <v>9468</v>
      </c>
    </row>
    <row r="371" spans="6:9">
      <c r="F371" s="29" t="s">
        <v>111</v>
      </c>
      <c r="G371" s="30" t="s">
        <v>670</v>
      </c>
      <c r="H371" s="30" t="s">
        <v>669</v>
      </c>
      <c r="I371" s="31">
        <v>5302</v>
      </c>
    </row>
    <row r="372" spans="6:9">
      <c r="F372" s="29" t="s">
        <v>14</v>
      </c>
      <c r="G372" s="30" t="s">
        <v>652</v>
      </c>
      <c r="H372" s="30" t="s">
        <v>656</v>
      </c>
      <c r="I372" s="31">
        <v>537</v>
      </c>
    </row>
    <row r="373" spans="6:9">
      <c r="F373" s="29" t="s">
        <v>10</v>
      </c>
      <c r="G373" s="30" t="s">
        <v>662</v>
      </c>
      <c r="H373" s="30" t="s">
        <v>679</v>
      </c>
      <c r="I373" s="31">
        <v>7911</v>
      </c>
    </row>
    <row r="374" spans="6:9">
      <c r="F374" s="29" t="s">
        <v>10</v>
      </c>
      <c r="G374" s="30" t="s">
        <v>666</v>
      </c>
      <c r="H374" s="30" t="s">
        <v>667</v>
      </c>
      <c r="I374" s="31">
        <v>6984</v>
      </c>
    </row>
    <row r="375" spans="6:9">
      <c r="F375" s="29" t="s">
        <v>10</v>
      </c>
      <c r="G375" s="30" t="s">
        <v>666</v>
      </c>
      <c r="H375" s="30" t="s">
        <v>673</v>
      </c>
      <c r="I375" s="31">
        <v>6596</v>
      </c>
    </row>
    <row r="376" spans="6:9">
      <c r="F376" s="29" t="s">
        <v>14</v>
      </c>
      <c r="G376" s="30" t="s">
        <v>657</v>
      </c>
      <c r="H376" s="30" t="s">
        <v>658</v>
      </c>
      <c r="I376" s="31">
        <v>5029</v>
      </c>
    </row>
    <row r="377" spans="6:9">
      <c r="F377" s="29" t="s">
        <v>16</v>
      </c>
      <c r="G377" s="30" t="s">
        <v>671</v>
      </c>
      <c r="H377" s="30" t="s">
        <v>674</v>
      </c>
      <c r="I377" s="31">
        <v>9858</v>
      </c>
    </row>
    <row r="378" spans="6:9">
      <c r="F378" s="29" t="s">
        <v>16</v>
      </c>
      <c r="G378" s="30" t="s">
        <v>660</v>
      </c>
      <c r="H378" s="30" t="s">
        <v>661</v>
      </c>
      <c r="I378" s="31">
        <v>3579</v>
      </c>
    </row>
    <row r="379" spans="6:9">
      <c r="F379" s="29" t="s">
        <v>111</v>
      </c>
      <c r="G379" s="30" t="s">
        <v>670</v>
      </c>
      <c r="H379" s="30" t="s">
        <v>661</v>
      </c>
      <c r="I379" s="31">
        <v>5567</v>
      </c>
    </row>
    <row r="380" spans="6:9">
      <c r="F380" s="29" t="s">
        <v>14</v>
      </c>
      <c r="G380" s="30" t="s">
        <v>659</v>
      </c>
      <c r="H380" s="30" t="s">
        <v>661</v>
      </c>
      <c r="I380" s="31">
        <v>6076</v>
      </c>
    </row>
    <row r="381" spans="6:9">
      <c r="F381" s="29" t="s">
        <v>14</v>
      </c>
      <c r="G381" s="30" t="s">
        <v>659</v>
      </c>
      <c r="H381" s="30" t="s">
        <v>661</v>
      </c>
      <c r="I381" s="31">
        <v>7187</v>
      </c>
    </row>
    <row r="382" spans="6:9">
      <c r="F382" s="29" t="s">
        <v>10</v>
      </c>
      <c r="G382" s="30" t="s">
        <v>659</v>
      </c>
      <c r="H382" s="30" t="s">
        <v>654</v>
      </c>
      <c r="I382" s="31">
        <v>2645</v>
      </c>
    </row>
    <row r="383" spans="6:9">
      <c r="F383" s="29" t="s">
        <v>111</v>
      </c>
      <c r="G383" s="30" t="s">
        <v>662</v>
      </c>
      <c r="H383" s="30" t="s">
        <v>676</v>
      </c>
      <c r="I383" s="31">
        <v>7665</v>
      </c>
    </row>
    <row r="384" spans="6:9">
      <c r="F384" s="29" t="s">
        <v>14</v>
      </c>
      <c r="G384" s="30" t="s">
        <v>662</v>
      </c>
      <c r="H384" s="30" t="s">
        <v>663</v>
      </c>
      <c r="I384" s="31">
        <v>2422</v>
      </c>
    </row>
    <row r="385" spans="6:9">
      <c r="F385" s="29" t="s">
        <v>16</v>
      </c>
      <c r="G385" s="30" t="s">
        <v>649</v>
      </c>
      <c r="H385" s="30" t="s">
        <v>655</v>
      </c>
      <c r="I385" s="31">
        <v>8647</v>
      </c>
    </row>
    <row r="386" spans="6:9">
      <c r="F386" s="29" t="s">
        <v>111</v>
      </c>
      <c r="G386" s="30" t="s">
        <v>662</v>
      </c>
      <c r="H386" s="30" t="s">
        <v>679</v>
      </c>
      <c r="I386" s="31">
        <v>8762</v>
      </c>
    </row>
    <row r="387" spans="6:9">
      <c r="F387" s="29" t="s">
        <v>16</v>
      </c>
      <c r="G387" s="30" t="s">
        <v>662</v>
      </c>
      <c r="H387" s="30" t="s">
        <v>676</v>
      </c>
      <c r="I387" s="31">
        <v>3128</v>
      </c>
    </row>
    <row r="388" spans="6:9">
      <c r="F388" s="29" t="s">
        <v>14</v>
      </c>
      <c r="G388" s="30" t="s">
        <v>671</v>
      </c>
      <c r="H388" s="30" t="s">
        <v>675</v>
      </c>
      <c r="I388" s="31">
        <v>2197</v>
      </c>
    </row>
    <row r="389" spans="6:9">
      <c r="F389" s="29" t="s">
        <v>14</v>
      </c>
      <c r="G389" s="30" t="s">
        <v>659</v>
      </c>
      <c r="H389" s="30" t="s">
        <v>654</v>
      </c>
      <c r="I389" s="31">
        <v>599</v>
      </c>
    </row>
    <row r="390" spans="6:9">
      <c r="F390" s="29" t="s">
        <v>111</v>
      </c>
      <c r="G390" s="30" t="s">
        <v>660</v>
      </c>
      <c r="H390" s="30" t="s">
        <v>665</v>
      </c>
      <c r="I390" s="31">
        <v>3653</v>
      </c>
    </row>
    <row r="391" spans="6:9">
      <c r="F391" s="29" t="s">
        <v>14</v>
      </c>
      <c r="G391" s="30" t="s">
        <v>657</v>
      </c>
      <c r="H391" s="30" t="s">
        <v>680</v>
      </c>
      <c r="I391" s="31">
        <v>1918</v>
      </c>
    </row>
    <row r="392" spans="6:9">
      <c r="F392" s="29" t="s">
        <v>16</v>
      </c>
      <c r="G392" s="30" t="s">
        <v>670</v>
      </c>
      <c r="H392" s="30" t="s">
        <v>669</v>
      </c>
      <c r="I392" s="31">
        <v>4633</v>
      </c>
    </row>
    <row r="393" spans="6:9">
      <c r="F393" s="29" t="s">
        <v>10</v>
      </c>
      <c r="G393" s="30" t="s">
        <v>652</v>
      </c>
      <c r="H393" s="30" t="s">
        <v>653</v>
      </c>
      <c r="I393" s="31">
        <v>3847</v>
      </c>
    </row>
    <row r="394" spans="6:9">
      <c r="F394" s="29" t="s">
        <v>16</v>
      </c>
      <c r="G394" s="30" t="s">
        <v>671</v>
      </c>
      <c r="H394" s="30" t="s">
        <v>674</v>
      </c>
      <c r="I394" s="31">
        <v>7122</v>
      </c>
    </row>
    <row r="395" spans="6:9">
      <c r="F395" s="29" t="s">
        <v>16</v>
      </c>
      <c r="G395" s="30" t="s">
        <v>671</v>
      </c>
      <c r="H395" s="30" t="s">
        <v>672</v>
      </c>
      <c r="I395" s="31">
        <v>6543</v>
      </c>
    </row>
    <row r="396" spans="6:9">
      <c r="F396" s="29" t="s">
        <v>14</v>
      </c>
      <c r="G396" s="30" t="s">
        <v>660</v>
      </c>
      <c r="H396" s="30" t="s">
        <v>665</v>
      </c>
      <c r="I396" s="31">
        <v>9483</v>
      </c>
    </row>
    <row r="397" spans="6:9">
      <c r="F397" s="29" t="s">
        <v>10</v>
      </c>
      <c r="G397" s="30" t="s">
        <v>666</v>
      </c>
      <c r="H397" s="30" t="s">
        <v>667</v>
      </c>
      <c r="I397" s="31">
        <v>9592</v>
      </c>
    </row>
    <row r="398" spans="6:9">
      <c r="F398" s="29" t="s">
        <v>111</v>
      </c>
      <c r="G398" s="30" t="s">
        <v>657</v>
      </c>
      <c r="H398" s="30" t="s">
        <v>658</v>
      </c>
      <c r="I398" s="31">
        <v>5905</v>
      </c>
    </row>
    <row r="399" spans="6:9">
      <c r="F399" s="29" t="s">
        <v>10</v>
      </c>
      <c r="G399" s="30" t="s">
        <v>652</v>
      </c>
      <c r="H399" s="30" t="s">
        <v>654</v>
      </c>
      <c r="I399" s="31">
        <v>6092</v>
      </c>
    </row>
    <row r="400" spans="6:9">
      <c r="F400" s="29" t="s">
        <v>14</v>
      </c>
      <c r="G400" s="30" t="s">
        <v>649</v>
      </c>
      <c r="H400" s="30" t="s">
        <v>655</v>
      </c>
      <c r="I400" s="31">
        <v>5179</v>
      </c>
    </row>
    <row r="401" spans="6:9">
      <c r="F401" s="29" t="s">
        <v>16</v>
      </c>
      <c r="G401" s="30" t="s">
        <v>662</v>
      </c>
      <c r="H401" s="30" t="s">
        <v>663</v>
      </c>
      <c r="I401" s="31">
        <v>5698</v>
      </c>
    </row>
    <row r="402" spans="6:9">
      <c r="F402" s="29" t="s">
        <v>16</v>
      </c>
      <c r="G402" s="30" t="s">
        <v>670</v>
      </c>
      <c r="H402" s="30" t="s">
        <v>674</v>
      </c>
      <c r="I402" s="31">
        <v>1191</v>
      </c>
    </row>
    <row r="403" spans="6:9">
      <c r="F403" s="29" t="s">
        <v>14</v>
      </c>
      <c r="G403" s="30" t="s">
        <v>671</v>
      </c>
      <c r="H403" s="30" t="s">
        <v>672</v>
      </c>
      <c r="I403" s="31">
        <v>9049</v>
      </c>
    </row>
    <row r="404" spans="6:9">
      <c r="F404" s="29" t="s">
        <v>14</v>
      </c>
      <c r="G404" s="30" t="s">
        <v>671</v>
      </c>
      <c r="H404" s="30" t="s">
        <v>674</v>
      </c>
      <c r="I404" s="31">
        <v>6945</v>
      </c>
    </row>
    <row r="405" spans="6:9">
      <c r="F405" s="29" t="s">
        <v>10</v>
      </c>
      <c r="G405" s="30" t="s">
        <v>666</v>
      </c>
      <c r="H405" s="30" t="s">
        <v>667</v>
      </c>
      <c r="I405" s="31">
        <v>3544</v>
      </c>
    </row>
    <row r="406" spans="6:9">
      <c r="F406" s="29" t="s">
        <v>111</v>
      </c>
      <c r="G406" s="30" t="s">
        <v>670</v>
      </c>
      <c r="H406" s="30" t="s">
        <v>664</v>
      </c>
      <c r="I406" s="31">
        <v>3707</v>
      </c>
    </row>
    <row r="407" spans="6:9">
      <c r="F407" s="29" t="s">
        <v>111</v>
      </c>
      <c r="G407" s="30" t="s">
        <v>662</v>
      </c>
      <c r="H407" s="30" t="s">
        <v>679</v>
      </c>
      <c r="I407" s="31">
        <v>6378</v>
      </c>
    </row>
    <row r="408" spans="6:9">
      <c r="F408" s="29" t="s">
        <v>10</v>
      </c>
      <c r="G408" s="30" t="s">
        <v>670</v>
      </c>
      <c r="H408" s="30" t="s">
        <v>669</v>
      </c>
      <c r="I408" s="31">
        <v>6857</v>
      </c>
    </row>
    <row r="409" spans="6:9">
      <c r="F409" s="29" t="s">
        <v>14</v>
      </c>
      <c r="G409" s="30" t="s">
        <v>670</v>
      </c>
      <c r="H409" s="30" t="s">
        <v>674</v>
      </c>
      <c r="I409" s="31">
        <v>4916</v>
      </c>
    </row>
    <row r="410" spans="6:9">
      <c r="F410" s="29" t="s">
        <v>14</v>
      </c>
      <c r="G410" s="30" t="s">
        <v>671</v>
      </c>
      <c r="H410" s="30" t="s">
        <v>675</v>
      </c>
      <c r="I410" s="31">
        <v>7778</v>
      </c>
    </row>
    <row r="411" spans="6:9">
      <c r="F411" s="29" t="s">
        <v>14</v>
      </c>
      <c r="G411" s="30" t="s">
        <v>666</v>
      </c>
      <c r="H411" s="30" t="s">
        <v>677</v>
      </c>
      <c r="I411" s="31">
        <v>8416</v>
      </c>
    </row>
    <row r="412" spans="6:9">
      <c r="F412" s="29" t="s">
        <v>10</v>
      </c>
      <c r="G412" s="30" t="s">
        <v>652</v>
      </c>
      <c r="H412" s="30" t="s">
        <v>656</v>
      </c>
      <c r="I412" s="31">
        <v>5559</v>
      </c>
    </row>
    <row r="413" spans="6:9">
      <c r="F413" s="29" t="s">
        <v>14</v>
      </c>
      <c r="G413" s="30" t="s">
        <v>666</v>
      </c>
      <c r="H413" s="30" t="s">
        <v>677</v>
      </c>
      <c r="I413" s="31">
        <v>7840</v>
      </c>
    </row>
    <row r="414" spans="6:9">
      <c r="F414" s="29" t="s">
        <v>10</v>
      </c>
      <c r="G414" s="30" t="s">
        <v>662</v>
      </c>
      <c r="H414" s="30" t="s">
        <v>679</v>
      </c>
      <c r="I414" s="31">
        <v>7756</v>
      </c>
    </row>
    <row r="415" spans="6:9">
      <c r="F415" s="29" t="s">
        <v>14</v>
      </c>
      <c r="G415" s="30" t="s">
        <v>671</v>
      </c>
      <c r="H415" s="30" t="s">
        <v>675</v>
      </c>
      <c r="I415" s="31">
        <v>4532</v>
      </c>
    </row>
    <row r="416" spans="6:9">
      <c r="F416" s="29" t="s">
        <v>14</v>
      </c>
      <c r="G416" s="30" t="s">
        <v>670</v>
      </c>
      <c r="H416" s="30" t="s">
        <v>669</v>
      </c>
      <c r="I416" s="31">
        <v>5417</v>
      </c>
    </row>
    <row r="417" spans="6:9">
      <c r="F417" s="29" t="s">
        <v>10</v>
      </c>
      <c r="G417" s="30" t="s">
        <v>660</v>
      </c>
      <c r="H417" s="30" t="s">
        <v>668</v>
      </c>
      <c r="I417" s="31">
        <v>3274</v>
      </c>
    </row>
    <row r="418" spans="6:9">
      <c r="F418" s="29" t="s">
        <v>16</v>
      </c>
      <c r="G418" s="30" t="s">
        <v>659</v>
      </c>
      <c r="H418" s="30" t="s">
        <v>654</v>
      </c>
      <c r="I418" s="31">
        <v>6244</v>
      </c>
    </row>
    <row r="419" spans="6:9">
      <c r="F419" s="29" t="s">
        <v>16</v>
      </c>
      <c r="G419" s="30" t="s">
        <v>660</v>
      </c>
      <c r="H419" s="30" t="s">
        <v>668</v>
      </c>
      <c r="I419" s="31">
        <v>1860</v>
      </c>
    </row>
    <row r="420" spans="6:9">
      <c r="F420" s="29" t="s">
        <v>10</v>
      </c>
      <c r="G420" s="30" t="s">
        <v>670</v>
      </c>
      <c r="H420" s="30" t="s">
        <v>664</v>
      </c>
      <c r="I420" s="31">
        <v>6986</v>
      </c>
    </row>
    <row r="421" spans="6:9">
      <c r="F421" s="29" t="s">
        <v>14</v>
      </c>
      <c r="G421" s="30" t="s">
        <v>649</v>
      </c>
      <c r="H421" s="30" t="s">
        <v>655</v>
      </c>
      <c r="I421" s="31">
        <v>2592</v>
      </c>
    </row>
    <row r="422" spans="6:9">
      <c r="F422" s="29" t="s">
        <v>10</v>
      </c>
      <c r="G422" s="30" t="s">
        <v>662</v>
      </c>
      <c r="H422" s="30" t="s">
        <v>663</v>
      </c>
      <c r="I422" s="31">
        <v>5942</v>
      </c>
    </row>
    <row r="423" spans="6:9">
      <c r="F423" s="29" t="s">
        <v>10</v>
      </c>
      <c r="G423" s="30" t="s">
        <v>652</v>
      </c>
      <c r="H423" s="30" t="s">
        <v>653</v>
      </c>
      <c r="I423" s="31">
        <v>1078</v>
      </c>
    </row>
    <row r="424" spans="6:9">
      <c r="F424" s="29" t="s">
        <v>10</v>
      </c>
      <c r="G424" s="30" t="s">
        <v>657</v>
      </c>
      <c r="H424" s="30" t="s">
        <v>680</v>
      </c>
      <c r="I424" s="31">
        <v>8158</v>
      </c>
    </row>
    <row r="425" spans="6:9">
      <c r="F425" s="29" t="s">
        <v>16</v>
      </c>
      <c r="G425" s="30" t="s">
        <v>662</v>
      </c>
      <c r="H425" s="30" t="s">
        <v>679</v>
      </c>
      <c r="I425" s="31">
        <v>631</v>
      </c>
    </row>
    <row r="426" spans="6:9">
      <c r="F426" s="29" t="s">
        <v>111</v>
      </c>
      <c r="G426" s="30" t="s">
        <v>657</v>
      </c>
      <c r="H426" s="30" t="s">
        <v>658</v>
      </c>
      <c r="I426" s="31">
        <v>4692</v>
      </c>
    </row>
    <row r="427" spans="6:9">
      <c r="F427" s="29" t="s">
        <v>10</v>
      </c>
      <c r="G427" s="30" t="s">
        <v>649</v>
      </c>
      <c r="H427" s="30" t="s">
        <v>655</v>
      </c>
      <c r="I427" s="31">
        <v>7905</v>
      </c>
    </row>
    <row r="428" spans="6:9">
      <c r="F428" s="29" t="s">
        <v>16</v>
      </c>
      <c r="G428" s="30" t="s">
        <v>660</v>
      </c>
      <c r="H428" s="30" t="s">
        <v>661</v>
      </c>
      <c r="I428" s="31">
        <v>7077</v>
      </c>
    </row>
    <row r="429" spans="6:9">
      <c r="F429" s="29" t="s">
        <v>10</v>
      </c>
      <c r="G429" s="30" t="s">
        <v>659</v>
      </c>
      <c r="H429" s="30" t="s">
        <v>661</v>
      </c>
      <c r="I429" s="31">
        <v>2840</v>
      </c>
    </row>
    <row r="430" spans="6:9">
      <c r="F430" s="29" t="s">
        <v>16</v>
      </c>
      <c r="G430" s="30" t="s">
        <v>660</v>
      </c>
      <c r="H430" s="30" t="s">
        <v>665</v>
      </c>
      <c r="I430" s="31">
        <v>886</v>
      </c>
    </row>
    <row r="431" spans="6:9">
      <c r="F431" s="29" t="s">
        <v>111</v>
      </c>
      <c r="G431" s="30" t="s">
        <v>652</v>
      </c>
      <c r="H431" s="30" t="s">
        <v>653</v>
      </c>
      <c r="I431" s="31">
        <v>7408</v>
      </c>
    </row>
    <row r="432" spans="6:9">
      <c r="F432" s="29" t="s">
        <v>10</v>
      </c>
      <c r="G432" s="30" t="s">
        <v>670</v>
      </c>
      <c r="H432" s="30" t="s">
        <v>674</v>
      </c>
      <c r="I432" s="31">
        <v>1317</v>
      </c>
    </row>
    <row r="433" spans="6:9">
      <c r="F433" s="29" t="s">
        <v>14</v>
      </c>
      <c r="G433" s="30" t="s">
        <v>670</v>
      </c>
      <c r="H433" s="30" t="s">
        <v>669</v>
      </c>
      <c r="I433" s="31">
        <v>2949</v>
      </c>
    </row>
    <row r="434" spans="6:9">
      <c r="F434" s="29" t="s">
        <v>10</v>
      </c>
      <c r="G434" s="30" t="s">
        <v>662</v>
      </c>
      <c r="H434" s="30" t="s">
        <v>679</v>
      </c>
      <c r="I434" s="31">
        <v>2562</v>
      </c>
    </row>
    <row r="435" spans="6:9">
      <c r="F435" s="29" t="s">
        <v>16</v>
      </c>
      <c r="G435" s="30" t="s">
        <v>660</v>
      </c>
      <c r="H435" s="30" t="s">
        <v>668</v>
      </c>
      <c r="I435" s="31">
        <v>5392</v>
      </c>
    </row>
    <row r="436" spans="6:9">
      <c r="F436" s="29" t="s">
        <v>14</v>
      </c>
      <c r="G436" s="30" t="s">
        <v>659</v>
      </c>
      <c r="H436" s="30" t="s">
        <v>661</v>
      </c>
      <c r="I436" s="31">
        <v>7691</v>
      </c>
    </row>
    <row r="437" spans="6:9">
      <c r="F437" s="29" t="s">
        <v>111</v>
      </c>
      <c r="G437" s="30" t="s">
        <v>670</v>
      </c>
      <c r="H437" s="30" t="s">
        <v>661</v>
      </c>
      <c r="I437" s="31">
        <v>7511</v>
      </c>
    </row>
    <row r="438" spans="6:9">
      <c r="F438" s="29" t="s">
        <v>10</v>
      </c>
      <c r="G438" s="30" t="s">
        <v>666</v>
      </c>
      <c r="H438" s="30" t="s">
        <v>673</v>
      </c>
      <c r="I438" s="31">
        <v>3886</v>
      </c>
    </row>
    <row r="439" spans="6:9">
      <c r="F439" s="29" t="s">
        <v>111</v>
      </c>
      <c r="G439" s="30" t="s">
        <v>657</v>
      </c>
      <c r="H439" s="30" t="s">
        <v>681</v>
      </c>
      <c r="I439" s="31">
        <v>6295</v>
      </c>
    </row>
    <row r="440" spans="6:9">
      <c r="F440" s="29" t="s">
        <v>111</v>
      </c>
      <c r="G440" s="30" t="s">
        <v>657</v>
      </c>
      <c r="H440" s="30" t="s">
        <v>658</v>
      </c>
      <c r="I440" s="31">
        <v>5838</v>
      </c>
    </row>
    <row r="441" spans="6:9">
      <c r="F441" s="29" t="s">
        <v>111</v>
      </c>
      <c r="G441" s="30" t="s">
        <v>649</v>
      </c>
      <c r="H441" s="30" t="s">
        <v>655</v>
      </c>
      <c r="I441" s="31">
        <v>303</v>
      </c>
    </row>
    <row r="442" spans="6:9">
      <c r="F442" s="29" t="s">
        <v>10</v>
      </c>
      <c r="G442" s="30" t="s">
        <v>649</v>
      </c>
      <c r="H442" s="30" t="s">
        <v>655</v>
      </c>
      <c r="I442" s="31">
        <v>8228</v>
      </c>
    </row>
    <row r="443" spans="6:9">
      <c r="F443" s="29" t="s">
        <v>14</v>
      </c>
      <c r="G443" s="30" t="s">
        <v>670</v>
      </c>
      <c r="H443" s="30" t="s">
        <v>664</v>
      </c>
      <c r="I443" s="31">
        <v>1948</v>
      </c>
    </row>
    <row r="444" spans="6:9">
      <c r="F444" s="29" t="s">
        <v>111</v>
      </c>
      <c r="G444" s="30" t="s">
        <v>662</v>
      </c>
      <c r="H444" s="30" t="s">
        <v>679</v>
      </c>
      <c r="I444" s="31">
        <v>1973</v>
      </c>
    </row>
    <row r="445" spans="6:9">
      <c r="F445" s="29" t="s">
        <v>10</v>
      </c>
      <c r="G445" s="30" t="s">
        <v>662</v>
      </c>
      <c r="H445" s="30" t="s">
        <v>679</v>
      </c>
      <c r="I445" s="31">
        <v>7169</v>
      </c>
    </row>
    <row r="446" spans="6:9">
      <c r="F446" s="29" t="s">
        <v>14</v>
      </c>
      <c r="G446" s="30" t="s">
        <v>666</v>
      </c>
      <c r="H446" s="30" t="s">
        <v>673</v>
      </c>
      <c r="I446" s="31">
        <v>8646</v>
      </c>
    </row>
    <row r="447" spans="6:9">
      <c r="F447" s="29" t="s">
        <v>111</v>
      </c>
      <c r="G447" s="30" t="s">
        <v>670</v>
      </c>
      <c r="H447" s="30" t="s">
        <v>661</v>
      </c>
      <c r="I447" s="31">
        <v>9926</v>
      </c>
    </row>
    <row r="448" spans="6:9">
      <c r="F448" s="29" t="s">
        <v>111</v>
      </c>
      <c r="G448" s="30" t="s">
        <v>649</v>
      </c>
      <c r="H448" s="30" t="s">
        <v>648</v>
      </c>
      <c r="I448" s="31">
        <v>7033</v>
      </c>
    </row>
    <row r="449" spans="6:9">
      <c r="F449" s="29" t="s">
        <v>16</v>
      </c>
      <c r="G449" s="30" t="s">
        <v>670</v>
      </c>
      <c r="H449" s="30" t="s">
        <v>669</v>
      </c>
      <c r="I449" s="31">
        <v>719</v>
      </c>
    </row>
    <row r="450" spans="6:9">
      <c r="F450" s="29" t="s">
        <v>14</v>
      </c>
      <c r="G450" s="30" t="s">
        <v>657</v>
      </c>
      <c r="H450" s="30" t="s">
        <v>680</v>
      </c>
      <c r="I450" s="31">
        <v>6831</v>
      </c>
    </row>
    <row r="451" spans="6:9">
      <c r="F451" s="29" t="s">
        <v>111</v>
      </c>
      <c r="G451" s="30" t="s">
        <v>671</v>
      </c>
      <c r="H451" s="30" t="s">
        <v>672</v>
      </c>
      <c r="I451" s="31">
        <v>2305</v>
      </c>
    </row>
    <row r="452" spans="6:9">
      <c r="F452" s="29" t="s">
        <v>111</v>
      </c>
      <c r="G452" s="30" t="s">
        <v>670</v>
      </c>
      <c r="H452" s="30" t="s">
        <v>674</v>
      </c>
      <c r="I452" s="31">
        <v>1704</v>
      </c>
    </row>
    <row r="453" spans="6:9">
      <c r="F453" s="29" t="s">
        <v>16</v>
      </c>
      <c r="G453" s="30" t="s">
        <v>671</v>
      </c>
      <c r="H453" s="30" t="s">
        <v>672</v>
      </c>
      <c r="I453" s="31">
        <v>2516</v>
      </c>
    </row>
    <row r="454" spans="6:9">
      <c r="F454" s="29" t="s">
        <v>111</v>
      </c>
      <c r="G454" s="30" t="s">
        <v>657</v>
      </c>
      <c r="H454" s="30" t="s">
        <v>680</v>
      </c>
      <c r="I454" s="31">
        <v>1057</v>
      </c>
    </row>
    <row r="455" spans="6:9">
      <c r="F455" s="29" t="s">
        <v>16</v>
      </c>
      <c r="G455" s="30" t="s">
        <v>659</v>
      </c>
      <c r="H455" s="30" t="s">
        <v>654</v>
      </c>
      <c r="I455" s="31">
        <v>668</v>
      </c>
    </row>
    <row r="456" spans="6:9">
      <c r="F456" s="29" t="s">
        <v>14</v>
      </c>
      <c r="G456" s="30" t="s">
        <v>670</v>
      </c>
      <c r="H456" s="30" t="s">
        <v>669</v>
      </c>
      <c r="I456" s="31">
        <v>8418</v>
      </c>
    </row>
    <row r="457" spans="6:9">
      <c r="F457" s="29" t="s">
        <v>16</v>
      </c>
      <c r="G457" s="30" t="s">
        <v>666</v>
      </c>
      <c r="H457" s="30" t="s">
        <v>673</v>
      </c>
      <c r="I457" s="31">
        <v>6857</v>
      </c>
    </row>
    <row r="458" spans="6:9">
      <c r="F458" s="29" t="s">
        <v>111</v>
      </c>
      <c r="G458" s="30" t="s">
        <v>649</v>
      </c>
      <c r="H458" s="30" t="s">
        <v>655</v>
      </c>
      <c r="I458" s="31">
        <v>8103</v>
      </c>
    </row>
    <row r="459" spans="6:9">
      <c r="F459" s="29" t="s">
        <v>16</v>
      </c>
      <c r="G459" s="30" t="s">
        <v>670</v>
      </c>
      <c r="H459" s="30" t="s">
        <v>661</v>
      </c>
      <c r="I459" s="31">
        <v>7242</v>
      </c>
    </row>
    <row r="460" spans="6:9">
      <c r="F460" s="29" t="s">
        <v>14</v>
      </c>
      <c r="G460" s="30" t="s">
        <v>659</v>
      </c>
      <c r="H460" s="30" t="s">
        <v>654</v>
      </c>
      <c r="I460" s="31">
        <v>6911</v>
      </c>
    </row>
    <row r="461" spans="6:9">
      <c r="F461" s="29" t="s">
        <v>111</v>
      </c>
      <c r="G461" s="30" t="s">
        <v>659</v>
      </c>
      <c r="H461" s="30" t="s">
        <v>655</v>
      </c>
      <c r="I461" s="31">
        <v>2204</v>
      </c>
    </row>
    <row r="462" spans="6:9">
      <c r="F462" s="29" t="s">
        <v>111</v>
      </c>
      <c r="G462" s="30" t="s">
        <v>657</v>
      </c>
      <c r="H462" s="30" t="s">
        <v>658</v>
      </c>
      <c r="I462" s="31">
        <v>9512</v>
      </c>
    </row>
    <row r="463" spans="6:9">
      <c r="F463" s="29" t="s">
        <v>111</v>
      </c>
      <c r="G463" s="30" t="s">
        <v>652</v>
      </c>
      <c r="H463" s="30" t="s">
        <v>654</v>
      </c>
      <c r="I463" s="31">
        <v>1455</v>
      </c>
    </row>
    <row r="464" spans="6:9">
      <c r="F464" s="29" t="s">
        <v>16</v>
      </c>
      <c r="G464" s="30" t="s">
        <v>657</v>
      </c>
      <c r="H464" s="30" t="s">
        <v>658</v>
      </c>
      <c r="I464" s="31">
        <v>6931</v>
      </c>
    </row>
    <row r="465" spans="6:9">
      <c r="F465" s="29" t="s">
        <v>111</v>
      </c>
      <c r="G465" s="30" t="s">
        <v>649</v>
      </c>
      <c r="H465" s="30" t="s">
        <v>651</v>
      </c>
      <c r="I465" s="31">
        <v>5776</v>
      </c>
    </row>
    <row r="466" spans="6:9">
      <c r="F466" s="29" t="s">
        <v>14</v>
      </c>
      <c r="G466" s="30" t="s">
        <v>660</v>
      </c>
      <c r="H466" s="30" t="s">
        <v>664</v>
      </c>
      <c r="I466" s="31">
        <v>5687</v>
      </c>
    </row>
    <row r="467" spans="6:9">
      <c r="F467" s="29" t="s">
        <v>16</v>
      </c>
      <c r="G467" s="30" t="s">
        <v>659</v>
      </c>
      <c r="H467" s="30" t="s">
        <v>655</v>
      </c>
      <c r="I467" s="31">
        <v>9734</v>
      </c>
    </row>
    <row r="468" spans="6:9">
      <c r="F468" s="29" t="s">
        <v>10</v>
      </c>
      <c r="G468" s="30" t="s">
        <v>666</v>
      </c>
      <c r="H468" s="30" t="s">
        <v>673</v>
      </c>
      <c r="I468" s="31">
        <v>9542</v>
      </c>
    </row>
    <row r="469" spans="6:9">
      <c r="F469" s="29" t="s">
        <v>111</v>
      </c>
      <c r="G469" s="30" t="s">
        <v>662</v>
      </c>
      <c r="H469" s="30" t="s">
        <v>679</v>
      </c>
      <c r="I469" s="31">
        <v>1512</v>
      </c>
    </row>
    <row r="470" spans="6:9">
      <c r="F470" s="29" t="s">
        <v>16</v>
      </c>
      <c r="G470" s="30" t="s">
        <v>666</v>
      </c>
      <c r="H470" s="30" t="s">
        <v>677</v>
      </c>
      <c r="I470" s="31">
        <v>6330</v>
      </c>
    </row>
    <row r="471" spans="6:9">
      <c r="F471" s="29" t="s">
        <v>111</v>
      </c>
      <c r="G471" s="30" t="s">
        <v>652</v>
      </c>
      <c r="H471" s="30" t="s">
        <v>654</v>
      </c>
      <c r="I471" s="31">
        <v>7591</v>
      </c>
    </row>
    <row r="472" spans="6:9">
      <c r="F472" s="29" t="s">
        <v>111</v>
      </c>
      <c r="G472" s="30" t="s">
        <v>659</v>
      </c>
      <c r="H472" s="30" t="s">
        <v>654</v>
      </c>
      <c r="I472" s="31">
        <v>6585</v>
      </c>
    </row>
    <row r="473" spans="6:9">
      <c r="F473" s="29" t="s">
        <v>10</v>
      </c>
      <c r="G473" s="30" t="s">
        <v>670</v>
      </c>
      <c r="H473" s="30" t="s">
        <v>661</v>
      </c>
      <c r="I473" s="31">
        <v>3167</v>
      </c>
    </row>
    <row r="474" spans="6:9">
      <c r="F474" s="29" t="s">
        <v>10</v>
      </c>
      <c r="G474" s="30" t="s">
        <v>660</v>
      </c>
      <c r="H474" s="30" t="s">
        <v>661</v>
      </c>
      <c r="I474" s="31">
        <v>5112</v>
      </c>
    </row>
    <row r="475" spans="6:9">
      <c r="F475" s="29" t="s">
        <v>10</v>
      </c>
      <c r="G475" s="30" t="s">
        <v>671</v>
      </c>
      <c r="H475" s="30" t="s">
        <v>672</v>
      </c>
      <c r="I475" s="31">
        <v>5856</v>
      </c>
    </row>
    <row r="476" spans="6:9">
      <c r="F476" s="29" t="s">
        <v>16</v>
      </c>
      <c r="G476" s="30" t="s">
        <v>649</v>
      </c>
      <c r="H476" s="30" t="s">
        <v>655</v>
      </c>
      <c r="I476" s="31">
        <v>907</v>
      </c>
    </row>
    <row r="477" spans="6:9">
      <c r="F477" s="29" t="s">
        <v>111</v>
      </c>
      <c r="G477" s="30" t="s">
        <v>671</v>
      </c>
      <c r="H477" s="30" t="s">
        <v>674</v>
      </c>
      <c r="I477" s="31">
        <v>5363</v>
      </c>
    </row>
    <row r="478" spans="6:9">
      <c r="F478" s="29" t="s">
        <v>10</v>
      </c>
      <c r="G478" s="30" t="s">
        <v>652</v>
      </c>
      <c r="H478" s="30" t="s">
        <v>653</v>
      </c>
      <c r="I478" s="31">
        <v>3233</v>
      </c>
    </row>
    <row r="479" spans="6:9">
      <c r="F479" s="29" t="s">
        <v>10</v>
      </c>
      <c r="G479" s="30" t="s">
        <v>660</v>
      </c>
      <c r="H479" s="30" t="s">
        <v>665</v>
      </c>
      <c r="I479" s="31">
        <v>7526</v>
      </c>
    </row>
    <row r="480" spans="6:9">
      <c r="F480" s="29" t="s">
        <v>111</v>
      </c>
      <c r="G480" s="30" t="s">
        <v>657</v>
      </c>
      <c r="H480" s="30" t="s">
        <v>681</v>
      </c>
      <c r="I480" s="31">
        <v>6580</v>
      </c>
    </row>
    <row r="481" spans="6:9">
      <c r="F481" s="29" t="s">
        <v>10</v>
      </c>
      <c r="G481" s="30" t="s">
        <v>662</v>
      </c>
      <c r="H481" s="30" t="s">
        <v>663</v>
      </c>
      <c r="I481" s="31">
        <v>1303</v>
      </c>
    </row>
    <row r="482" spans="6:9">
      <c r="F482" s="29" t="s">
        <v>111</v>
      </c>
      <c r="G482" s="30" t="s">
        <v>662</v>
      </c>
      <c r="H482" s="30" t="s">
        <v>663</v>
      </c>
      <c r="I482" s="31">
        <v>2424</v>
      </c>
    </row>
    <row r="483" spans="6:9">
      <c r="F483" s="29" t="s">
        <v>16</v>
      </c>
      <c r="G483" s="30" t="s">
        <v>666</v>
      </c>
      <c r="H483" s="30" t="s">
        <v>667</v>
      </c>
      <c r="I483" s="31">
        <v>596</v>
      </c>
    </row>
    <row r="484" spans="6:9">
      <c r="F484" s="29" t="s">
        <v>111</v>
      </c>
      <c r="G484" s="30" t="s">
        <v>666</v>
      </c>
      <c r="H484" s="30" t="s">
        <v>667</v>
      </c>
      <c r="I484" s="31">
        <v>7215</v>
      </c>
    </row>
    <row r="485" spans="6:9">
      <c r="F485" s="29" t="s">
        <v>10</v>
      </c>
      <c r="G485" s="30" t="s">
        <v>662</v>
      </c>
      <c r="H485" s="30" t="s">
        <v>676</v>
      </c>
      <c r="I485" s="31">
        <v>7160</v>
      </c>
    </row>
    <row r="486" spans="6:9">
      <c r="F486" s="29" t="s">
        <v>111</v>
      </c>
      <c r="G486" s="30" t="s">
        <v>670</v>
      </c>
      <c r="H486" s="30" t="s">
        <v>669</v>
      </c>
      <c r="I486" s="31">
        <v>3063</v>
      </c>
    </row>
    <row r="487" spans="6:9">
      <c r="F487" s="29" t="s">
        <v>14</v>
      </c>
      <c r="G487" s="30" t="s">
        <v>659</v>
      </c>
      <c r="H487" s="30" t="s">
        <v>654</v>
      </c>
      <c r="I487" s="31">
        <v>5437</v>
      </c>
    </row>
    <row r="488" spans="6:9">
      <c r="F488" s="29" t="s">
        <v>14</v>
      </c>
      <c r="G488" s="30" t="s">
        <v>659</v>
      </c>
      <c r="H488" s="30" t="s">
        <v>655</v>
      </c>
      <c r="I488" s="31">
        <v>803</v>
      </c>
    </row>
    <row r="489" spans="6:9">
      <c r="F489" s="29" t="s">
        <v>10</v>
      </c>
      <c r="G489" s="30" t="s">
        <v>662</v>
      </c>
      <c r="H489" s="30" t="s">
        <v>663</v>
      </c>
      <c r="I489" s="31">
        <v>6228</v>
      </c>
    </row>
    <row r="490" spans="6:9">
      <c r="F490" s="29" t="s">
        <v>14</v>
      </c>
      <c r="G490" s="30" t="s">
        <v>670</v>
      </c>
      <c r="H490" s="30" t="s">
        <v>669</v>
      </c>
      <c r="I490" s="31">
        <v>370</v>
      </c>
    </row>
    <row r="491" spans="6:9">
      <c r="F491" s="29" t="s">
        <v>10</v>
      </c>
      <c r="G491" s="30" t="s">
        <v>671</v>
      </c>
      <c r="H491" s="30" t="s">
        <v>675</v>
      </c>
      <c r="I491" s="31">
        <v>5282</v>
      </c>
    </row>
    <row r="492" spans="6:9">
      <c r="F492" s="29" t="s">
        <v>14</v>
      </c>
      <c r="G492" s="30" t="s">
        <v>657</v>
      </c>
      <c r="H492" s="30" t="s">
        <v>658</v>
      </c>
      <c r="I492" s="31">
        <v>6301</v>
      </c>
    </row>
    <row r="493" spans="6:9">
      <c r="F493" s="29" t="s">
        <v>10</v>
      </c>
      <c r="G493" s="30" t="s">
        <v>652</v>
      </c>
      <c r="H493" s="30" t="s">
        <v>653</v>
      </c>
      <c r="I493" s="31">
        <v>4951</v>
      </c>
    </row>
    <row r="494" spans="6:9">
      <c r="F494" s="29" t="s">
        <v>16</v>
      </c>
      <c r="G494" s="30" t="s">
        <v>666</v>
      </c>
      <c r="H494" s="30" t="s">
        <v>667</v>
      </c>
      <c r="I494" s="31">
        <v>4289</v>
      </c>
    </row>
    <row r="495" spans="6:9">
      <c r="F495" s="29" t="s">
        <v>10</v>
      </c>
      <c r="G495" s="30" t="s">
        <v>652</v>
      </c>
      <c r="H495" s="30" t="s">
        <v>654</v>
      </c>
      <c r="I495" s="31">
        <v>6340</v>
      </c>
    </row>
    <row r="496" spans="6:9">
      <c r="F496" s="29" t="s">
        <v>111</v>
      </c>
      <c r="G496" s="30" t="s">
        <v>662</v>
      </c>
      <c r="H496" s="30" t="s">
        <v>676</v>
      </c>
      <c r="I496" s="31">
        <v>1020</v>
      </c>
    </row>
    <row r="497" spans="6:9">
      <c r="F497" s="29" t="s">
        <v>14</v>
      </c>
      <c r="G497" s="30" t="s">
        <v>662</v>
      </c>
      <c r="H497" s="30" t="s">
        <v>663</v>
      </c>
      <c r="I497" s="31">
        <v>9472</v>
      </c>
    </row>
    <row r="498" spans="6:9">
      <c r="F498" s="29" t="s">
        <v>14</v>
      </c>
      <c r="G498" s="30" t="s">
        <v>657</v>
      </c>
      <c r="H498" s="30" t="s">
        <v>678</v>
      </c>
      <c r="I498" s="31">
        <v>269</v>
      </c>
    </row>
    <row r="499" spans="6:9">
      <c r="F499" s="29" t="s">
        <v>10</v>
      </c>
      <c r="G499" s="30" t="s">
        <v>652</v>
      </c>
      <c r="H499" s="30" t="s">
        <v>656</v>
      </c>
      <c r="I499" s="31">
        <v>1838</v>
      </c>
    </row>
    <row r="500" spans="6:9">
      <c r="F500" s="29" t="s">
        <v>14</v>
      </c>
      <c r="G500" s="30" t="s">
        <v>662</v>
      </c>
      <c r="H500" s="30" t="s">
        <v>663</v>
      </c>
      <c r="I500" s="31">
        <v>8257</v>
      </c>
    </row>
    <row r="501" spans="6:9">
      <c r="F501" s="29" t="s">
        <v>10</v>
      </c>
      <c r="G501" s="30" t="s">
        <v>662</v>
      </c>
      <c r="H501" s="30" t="s">
        <v>663</v>
      </c>
      <c r="I501" s="31">
        <v>9131</v>
      </c>
    </row>
    <row r="502" spans="6:9">
      <c r="F502" s="29" t="s">
        <v>10</v>
      </c>
      <c r="G502" s="30" t="s">
        <v>662</v>
      </c>
      <c r="H502" s="30" t="s">
        <v>679</v>
      </c>
      <c r="I502" s="31">
        <v>6546</v>
      </c>
    </row>
    <row r="503" spans="6:9">
      <c r="F503" s="29" t="s">
        <v>111</v>
      </c>
      <c r="G503" s="30" t="s">
        <v>649</v>
      </c>
      <c r="H503" s="30" t="s">
        <v>651</v>
      </c>
      <c r="I503" s="31">
        <v>7218</v>
      </c>
    </row>
    <row r="504" spans="6:9">
      <c r="F504" s="29" t="s">
        <v>111</v>
      </c>
      <c r="G504" s="30" t="s">
        <v>652</v>
      </c>
      <c r="H504" s="30" t="s">
        <v>654</v>
      </c>
      <c r="I504" s="31">
        <v>3994</v>
      </c>
    </row>
    <row r="505" spans="6:9">
      <c r="F505" s="29" t="s">
        <v>10</v>
      </c>
      <c r="G505" s="30" t="s">
        <v>649</v>
      </c>
      <c r="H505" s="30" t="s">
        <v>651</v>
      </c>
      <c r="I505" s="31">
        <v>7685</v>
      </c>
    </row>
    <row r="506" spans="6:9">
      <c r="F506" s="29" t="s">
        <v>10</v>
      </c>
      <c r="G506" s="30" t="s">
        <v>659</v>
      </c>
      <c r="H506" s="30" t="s">
        <v>654</v>
      </c>
      <c r="I506" s="31">
        <v>9371</v>
      </c>
    </row>
    <row r="507" spans="6:9">
      <c r="F507" s="29" t="s">
        <v>16</v>
      </c>
      <c r="G507" s="30" t="s">
        <v>649</v>
      </c>
      <c r="H507" s="30" t="s">
        <v>651</v>
      </c>
      <c r="I507" s="31">
        <v>6990</v>
      </c>
    </row>
    <row r="508" spans="6:9">
      <c r="F508" s="29" t="s">
        <v>14</v>
      </c>
      <c r="G508" s="30" t="s">
        <v>660</v>
      </c>
      <c r="H508" s="30" t="s">
        <v>668</v>
      </c>
      <c r="I508" s="31">
        <v>8242</v>
      </c>
    </row>
    <row r="509" spans="6:9">
      <c r="F509" s="29" t="s">
        <v>111</v>
      </c>
      <c r="G509" s="30" t="s">
        <v>660</v>
      </c>
      <c r="H509" s="30" t="s">
        <v>665</v>
      </c>
      <c r="I509" s="31">
        <v>4449</v>
      </c>
    </row>
    <row r="510" spans="6:9">
      <c r="F510" s="29" t="s">
        <v>16</v>
      </c>
      <c r="G510" s="30" t="s">
        <v>660</v>
      </c>
      <c r="H510" s="30" t="s">
        <v>664</v>
      </c>
      <c r="I510" s="31">
        <v>1201</v>
      </c>
    </row>
    <row r="511" spans="6:9">
      <c r="F511" s="29" t="s">
        <v>10</v>
      </c>
      <c r="G511" s="30" t="s">
        <v>662</v>
      </c>
      <c r="H511" s="30" t="s">
        <v>676</v>
      </c>
      <c r="I511" s="31">
        <v>1042</v>
      </c>
    </row>
    <row r="512" spans="6:9">
      <c r="F512" s="29" t="s">
        <v>111</v>
      </c>
      <c r="G512" s="30" t="s">
        <v>671</v>
      </c>
      <c r="H512" s="30" t="s">
        <v>674</v>
      </c>
      <c r="I512" s="31">
        <v>6831</v>
      </c>
    </row>
    <row r="513" spans="6:9">
      <c r="F513" s="29" t="s">
        <v>111</v>
      </c>
      <c r="G513" s="30" t="s">
        <v>666</v>
      </c>
      <c r="H513" s="30" t="s">
        <v>667</v>
      </c>
      <c r="I513" s="31">
        <v>7543</v>
      </c>
    </row>
    <row r="514" spans="6:9">
      <c r="F514" s="29" t="s">
        <v>111</v>
      </c>
      <c r="G514" s="30" t="s">
        <v>662</v>
      </c>
      <c r="H514" s="30" t="s">
        <v>676</v>
      </c>
      <c r="I514" s="31">
        <v>1696</v>
      </c>
    </row>
    <row r="515" spans="6:9">
      <c r="F515" s="29" t="s">
        <v>10</v>
      </c>
      <c r="G515" s="30" t="s">
        <v>657</v>
      </c>
      <c r="H515" s="30" t="s">
        <v>680</v>
      </c>
      <c r="I515" s="31">
        <v>4716</v>
      </c>
    </row>
    <row r="516" spans="6:9">
      <c r="F516" s="29" t="s">
        <v>16</v>
      </c>
      <c r="G516" s="30" t="s">
        <v>662</v>
      </c>
      <c r="H516" s="30" t="s">
        <v>679</v>
      </c>
      <c r="I516" s="31">
        <v>9466</v>
      </c>
    </row>
    <row r="517" spans="6:9">
      <c r="F517" s="29" t="s">
        <v>111</v>
      </c>
      <c r="G517" s="30" t="s">
        <v>649</v>
      </c>
      <c r="H517" s="30" t="s">
        <v>648</v>
      </c>
      <c r="I517" s="31">
        <v>5148</v>
      </c>
    </row>
    <row r="518" spans="6:9">
      <c r="F518" s="29" t="s">
        <v>16</v>
      </c>
      <c r="G518" s="30" t="s">
        <v>657</v>
      </c>
      <c r="H518" s="30" t="s">
        <v>681</v>
      </c>
      <c r="I518" s="31">
        <v>5382</v>
      </c>
    </row>
    <row r="519" spans="6:9">
      <c r="F519" s="29" t="s">
        <v>111</v>
      </c>
      <c r="G519" s="30" t="s">
        <v>670</v>
      </c>
      <c r="H519" s="30" t="s">
        <v>664</v>
      </c>
      <c r="I519" s="31">
        <v>3413</v>
      </c>
    </row>
    <row r="520" spans="6:9">
      <c r="F520" s="29" t="s">
        <v>111</v>
      </c>
      <c r="G520" s="30" t="s">
        <v>671</v>
      </c>
      <c r="H520" s="30" t="s">
        <v>675</v>
      </c>
      <c r="I520" s="31">
        <v>3037</v>
      </c>
    </row>
    <row r="521" spans="6:9">
      <c r="F521" s="29" t="s">
        <v>16</v>
      </c>
      <c r="G521" s="30" t="s">
        <v>660</v>
      </c>
      <c r="H521" s="30" t="s">
        <v>665</v>
      </c>
      <c r="I521" s="31">
        <v>2266</v>
      </c>
    </row>
    <row r="522" spans="6:9">
      <c r="F522" s="29" t="s">
        <v>16</v>
      </c>
      <c r="G522" s="30" t="s">
        <v>652</v>
      </c>
      <c r="H522" s="30" t="s">
        <v>656</v>
      </c>
      <c r="I522" s="31">
        <v>5927</v>
      </c>
    </row>
    <row r="523" spans="6:9">
      <c r="F523" s="29" t="s">
        <v>10</v>
      </c>
      <c r="G523" s="30" t="s">
        <v>652</v>
      </c>
      <c r="H523" s="30" t="s">
        <v>654</v>
      </c>
      <c r="I523" s="31">
        <v>3879</v>
      </c>
    </row>
    <row r="524" spans="6:9">
      <c r="F524" s="29" t="s">
        <v>16</v>
      </c>
      <c r="G524" s="30" t="s">
        <v>659</v>
      </c>
      <c r="H524" s="30" t="s">
        <v>654</v>
      </c>
      <c r="I524" s="31">
        <v>1477</v>
      </c>
    </row>
    <row r="525" spans="6:9">
      <c r="F525" s="29" t="s">
        <v>16</v>
      </c>
      <c r="G525" s="30" t="s">
        <v>649</v>
      </c>
      <c r="H525" s="30" t="s">
        <v>648</v>
      </c>
      <c r="I525" s="31">
        <v>7239</v>
      </c>
    </row>
    <row r="526" spans="6:9">
      <c r="F526" s="29" t="s">
        <v>16</v>
      </c>
      <c r="G526" s="30" t="s">
        <v>666</v>
      </c>
      <c r="H526" s="30" t="s">
        <v>667</v>
      </c>
      <c r="I526" s="31">
        <v>3175</v>
      </c>
    </row>
    <row r="527" spans="6:9">
      <c r="F527" s="29" t="s">
        <v>111</v>
      </c>
      <c r="G527" s="30" t="s">
        <v>670</v>
      </c>
      <c r="H527" s="30" t="s">
        <v>664</v>
      </c>
      <c r="I527" s="31">
        <v>6333</v>
      </c>
    </row>
    <row r="528" spans="6:9">
      <c r="F528" s="29" t="s">
        <v>14</v>
      </c>
      <c r="G528" s="30" t="s">
        <v>649</v>
      </c>
      <c r="H528" s="30" t="s">
        <v>648</v>
      </c>
      <c r="I528" s="31">
        <v>623</v>
      </c>
    </row>
    <row r="529" spans="6:9">
      <c r="F529" s="29" t="s">
        <v>16</v>
      </c>
      <c r="G529" s="30" t="s">
        <v>660</v>
      </c>
      <c r="H529" s="30" t="s">
        <v>665</v>
      </c>
      <c r="I529" s="31">
        <v>7724</v>
      </c>
    </row>
    <row r="530" spans="6:9">
      <c r="F530" s="29" t="s">
        <v>14</v>
      </c>
      <c r="G530" s="30" t="s">
        <v>659</v>
      </c>
      <c r="H530" s="30" t="s">
        <v>654</v>
      </c>
      <c r="I530" s="31">
        <v>4631</v>
      </c>
    </row>
    <row r="531" spans="6:9">
      <c r="F531" s="29" t="s">
        <v>16</v>
      </c>
      <c r="G531" s="30" t="s">
        <v>660</v>
      </c>
      <c r="H531" s="30" t="s">
        <v>668</v>
      </c>
      <c r="I531" s="31">
        <v>2918</v>
      </c>
    </row>
    <row r="532" spans="6:9">
      <c r="F532" s="29" t="s">
        <v>16</v>
      </c>
      <c r="G532" s="30" t="s">
        <v>660</v>
      </c>
      <c r="H532" s="30" t="s">
        <v>668</v>
      </c>
      <c r="I532" s="31">
        <v>3460</v>
      </c>
    </row>
    <row r="533" spans="6:9">
      <c r="F533" s="29" t="s">
        <v>111</v>
      </c>
      <c r="G533" s="30" t="s">
        <v>649</v>
      </c>
      <c r="H533" s="30" t="s">
        <v>655</v>
      </c>
      <c r="I533" s="31">
        <v>487</v>
      </c>
    </row>
    <row r="534" spans="6:9">
      <c r="F534" s="29" t="s">
        <v>16</v>
      </c>
      <c r="G534" s="30" t="s">
        <v>657</v>
      </c>
      <c r="H534" s="30" t="s">
        <v>678</v>
      </c>
      <c r="I534" s="31">
        <v>3350</v>
      </c>
    </row>
    <row r="535" spans="6:9">
      <c r="F535" s="29" t="s">
        <v>14</v>
      </c>
      <c r="G535" s="30" t="s">
        <v>649</v>
      </c>
      <c r="H535" s="30" t="s">
        <v>651</v>
      </c>
      <c r="I535" s="31">
        <v>3266</v>
      </c>
    </row>
    <row r="536" spans="6:9">
      <c r="F536" s="29" t="s">
        <v>14</v>
      </c>
      <c r="G536" s="30" t="s">
        <v>649</v>
      </c>
      <c r="H536" s="30" t="s">
        <v>651</v>
      </c>
      <c r="I536" s="31">
        <v>5122</v>
      </c>
    </row>
    <row r="537" spans="6:9">
      <c r="F537" s="29" t="s">
        <v>10</v>
      </c>
      <c r="G537" s="30" t="s">
        <v>670</v>
      </c>
      <c r="H537" s="30" t="s">
        <v>661</v>
      </c>
      <c r="I537" s="31">
        <v>4918</v>
      </c>
    </row>
    <row r="538" spans="6:9">
      <c r="F538" s="29" t="s">
        <v>10</v>
      </c>
      <c r="G538" s="30" t="s">
        <v>666</v>
      </c>
      <c r="H538" s="30" t="s">
        <v>667</v>
      </c>
      <c r="I538" s="31">
        <v>5934</v>
      </c>
    </row>
    <row r="539" spans="6:9">
      <c r="F539" s="29" t="s">
        <v>10</v>
      </c>
      <c r="G539" s="30" t="s">
        <v>666</v>
      </c>
      <c r="H539" s="30" t="s">
        <v>673</v>
      </c>
      <c r="I539" s="31">
        <v>1563</v>
      </c>
    </row>
    <row r="540" spans="6:9">
      <c r="F540" s="29" t="s">
        <v>16</v>
      </c>
      <c r="G540" s="30" t="s">
        <v>659</v>
      </c>
      <c r="H540" s="30" t="s">
        <v>655</v>
      </c>
      <c r="I540" s="31">
        <v>3056</v>
      </c>
    </row>
    <row r="541" spans="6:9">
      <c r="F541" s="29" t="s">
        <v>111</v>
      </c>
      <c r="G541" s="30" t="s">
        <v>649</v>
      </c>
      <c r="H541" s="30" t="s">
        <v>651</v>
      </c>
      <c r="I541" s="31">
        <v>2528</v>
      </c>
    </row>
    <row r="542" spans="6:9">
      <c r="F542" s="29" t="s">
        <v>14</v>
      </c>
      <c r="G542" s="30" t="s">
        <v>652</v>
      </c>
      <c r="H542" s="30" t="s">
        <v>654</v>
      </c>
      <c r="I542" s="31">
        <v>283</v>
      </c>
    </row>
    <row r="543" spans="6:9">
      <c r="F543" s="29" t="s">
        <v>10</v>
      </c>
      <c r="G543" s="30" t="s">
        <v>660</v>
      </c>
      <c r="H543" s="30" t="s">
        <v>661</v>
      </c>
      <c r="I543" s="31">
        <v>2371</v>
      </c>
    </row>
    <row r="544" spans="6:9">
      <c r="F544" s="29" t="s">
        <v>10</v>
      </c>
      <c r="G544" s="30" t="s">
        <v>671</v>
      </c>
      <c r="H544" s="30" t="s">
        <v>674</v>
      </c>
      <c r="I544" s="31">
        <v>1886</v>
      </c>
    </row>
    <row r="545" spans="6:9">
      <c r="F545" s="29" t="s">
        <v>111</v>
      </c>
      <c r="G545" s="30" t="s">
        <v>671</v>
      </c>
      <c r="H545" s="30" t="s">
        <v>674</v>
      </c>
      <c r="I545" s="31">
        <v>6305</v>
      </c>
    </row>
    <row r="546" spans="6:9">
      <c r="F546" s="29" t="s">
        <v>10</v>
      </c>
      <c r="G546" s="30" t="s">
        <v>659</v>
      </c>
      <c r="H546" s="30" t="s">
        <v>655</v>
      </c>
      <c r="I546" s="31">
        <v>8907</v>
      </c>
    </row>
    <row r="547" spans="6:9">
      <c r="F547" s="29" t="s">
        <v>16</v>
      </c>
      <c r="G547" s="30" t="s">
        <v>666</v>
      </c>
      <c r="H547" s="30" t="s">
        <v>667</v>
      </c>
      <c r="I547" s="31">
        <v>7498</v>
      </c>
    </row>
    <row r="548" spans="6:9">
      <c r="F548" s="29" t="s">
        <v>14</v>
      </c>
      <c r="G548" s="30" t="s">
        <v>670</v>
      </c>
      <c r="H548" s="30" t="s">
        <v>669</v>
      </c>
      <c r="I548" s="31">
        <v>1062</v>
      </c>
    </row>
    <row r="549" spans="6:9">
      <c r="F549" s="29" t="s">
        <v>16</v>
      </c>
      <c r="G549" s="30" t="s">
        <v>652</v>
      </c>
      <c r="H549" s="30" t="s">
        <v>654</v>
      </c>
      <c r="I549" s="31">
        <v>2160</v>
      </c>
    </row>
    <row r="550" spans="6:9">
      <c r="F550" s="29" t="s">
        <v>16</v>
      </c>
      <c r="G550" s="30" t="s">
        <v>657</v>
      </c>
      <c r="H550" s="30" t="s">
        <v>680</v>
      </c>
      <c r="I550" s="31">
        <v>8879</v>
      </c>
    </row>
    <row r="551" spans="6:9">
      <c r="F551" s="29" t="s">
        <v>10</v>
      </c>
      <c r="G551" s="30" t="s">
        <v>666</v>
      </c>
      <c r="H551" s="30" t="s">
        <v>677</v>
      </c>
      <c r="I551" s="31">
        <v>5756</v>
      </c>
    </row>
    <row r="552" spans="6:9">
      <c r="F552" s="29" t="s">
        <v>16</v>
      </c>
      <c r="G552" s="30" t="s">
        <v>657</v>
      </c>
      <c r="H552" s="30" t="s">
        <v>680</v>
      </c>
      <c r="I552" s="31">
        <v>6722</v>
      </c>
    </row>
    <row r="553" spans="6:9">
      <c r="F553" s="29" t="s">
        <v>14</v>
      </c>
      <c r="G553" s="30" t="s">
        <v>666</v>
      </c>
      <c r="H553" s="30" t="s">
        <v>667</v>
      </c>
      <c r="I553" s="31">
        <v>7475</v>
      </c>
    </row>
    <row r="554" spans="6:9">
      <c r="F554" s="29" t="s">
        <v>10</v>
      </c>
      <c r="G554" s="30" t="s">
        <v>649</v>
      </c>
      <c r="H554" s="30" t="s">
        <v>651</v>
      </c>
      <c r="I554" s="31">
        <v>1899</v>
      </c>
    </row>
    <row r="555" spans="6:9">
      <c r="F555" s="29" t="s">
        <v>10</v>
      </c>
      <c r="G555" s="30" t="s">
        <v>660</v>
      </c>
      <c r="H555" s="30" t="s">
        <v>664</v>
      </c>
      <c r="I555" s="31">
        <v>6074</v>
      </c>
    </row>
    <row r="556" spans="6:9">
      <c r="F556" s="29" t="s">
        <v>16</v>
      </c>
      <c r="G556" s="30" t="s">
        <v>662</v>
      </c>
      <c r="H556" s="30" t="s">
        <v>676</v>
      </c>
      <c r="I556" s="31">
        <v>8706</v>
      </c>
    </row>
    <row r="557" spans="6:9">
      <c r="F557" s="29" t="s">
        <v>111</v>
      </c>
      <c r="G557" s="30" t="s">
        <v>670</v>
      </c>
      <c r="H557" s="30" t="s">
        <v>661</v>
      </c>
      <c r="I557" s="31">
        <v>3679</v>
      </c>
    </row>
    <row r="558" spans="6:9">
      <c r="F558" s="29" t="s">
        <v>14</v>
      </c>
      <c r="G558" s="30" t="s">
        <v>649</v>
      </c>
      <c r="H558" s="30" t="s">
        <v>651</v>
      </c>
      <c r="I558" s="31">
        <v>1745</v>
      </c>
    </row>
    <row r="559" spans="6:9">
      <c r="F559" s="29" t="s">
        <v>111</v>
      </c>
      <c r="G559" s="30" t="s">
        <v>670</v>
      </c>
      <c r="H559" s="30" t="s">
        <v>669</v>
      </c>
      <c r="I559" s="31">
        <v>816</v>
      </c>
    </row>
    <row r="560" spans="6:9">
      <c r="F560" s="29" t="s">
        <v>10</v>
      </c>
      <c r="G560" s="30" t="s">
        <v>666</v>
      </c>
      <c r="H560" s="30" t="s">
        <v>667</v>
      </c>
      <c r="I560" s="31">
        <v>2455</v>
      </c>
    </row>
    <row r="561" spans="6:9">
      <c r="F561" s="29" t="s">
        <v>111</v>
      </c>
      <c r="G561" s="30" t="s">
        <v>666</v>
      </c>
      <c r="H561" s="30" t="s">
        <v>667</v>
      </c>
      <c r="I561" s="31">
        <v>4659</v>
      </c>
    </row>
    <row r="562" spans="6:9">
      <c r="F562" s="29" t="s">
        <v>16</v>
      </c>
      <c r="G562" s="30" t="s">
        <v>671</v>
      </c>
      <c r="H562" s="30" t="s">
        <v>672</v>
      </c>
      <c r="I562" s="31">
        <v>3205</v>
      </c>
    </row>
    <row r="563" spans="6:9">
      <c r="F563" s="29" t="s">
        <v>10</v>
      </c>
      <c r="G563" s="30" t="s">
        <v>649</v>
      </c>
      <c r="H563" s="30" t="s">
        <v>648</v>
      </c>
      <c r="I563" s="31">
        <v>2965</v>
      </c>
    </row>
    <row r="564" spans="6:9">
      <c r="F564" s="29" t="s">
        <v>16</v>
      </c>
      <c r="G564" s="30" t="s">
        <v>671</v>
      </c>
      <c r="H564" s="30" t="s">
        <v>674</v>
      </c>
      <c r="I564" s="31">
        <v>2330</v>
      </c>
    </row>
    <row r="565" spans="6:9">
      <c r="F565" s="29" t="s">
        <v>16</v>
      </c>
      <c r="G565" s="30" t="s">
        <v>666</v>
      </c>
      <c r="H565" s="30" t="s">
        <v>673</v>
      </c>
      <c r="I565" s="31">
        <v>3598</v>
      </c>
    </row>
    <row r="566" spans="6:9">
      <c r="F566" s="29" t="s">
        <v>10</v>
      </c>
      <c r="G566" s="30" t="s">
        <v>657</v>
      </c>
      <c r="H566" s="30" t="s">
        <v>680</v>
      </c>
      <c r="I566" s="31">
        <v>5907</v>
      </c>
    </row>
    <row r="567" spans="6:9">
      <c r="F567" s="29" t="s">
        <v>10</v>
      </c>
      <c r="G567" s="30" t="s">
        <v>666</v>
      </c>
      <c r="H567" s="30" t="s">
        <v>677</v>
      </c>
      <c r="I567" s="31">
        <v>6603</v>
      </c>
    </row>
    <row r="568" spans="6:9">
      <c r="F568" s="29" t="s">
        <v>10</v>
      </c>
      <c r="G568" s="30" t="s">
        <v>666</v>
      </c>
      <c r="H568" s="30" t="s">
        <v>677</v>
      </c>
      <c r="I568" s="31">
        <v>574</v>
      </c>
    </row>
    <row r="569" spans="6:9">
      <c r="F569" s="29" t="s">
        <v>10</v>
      </c>
      <c r="G569" s="30" t="s">
        <v>662</v>
      </c>
      <c r="H569" s="30" t="s">
        <v>679</v>
      </c>
      <c r="I569" s="31">
        <v>9377</v>
      </c>
    </row>
    <row r="570" spans="6:9">
      <c r="F570" s="29" t="s">
        <v>14</v>
      </c>
      <c r="G570" s="30" t="s">
        <v>659</v>
      </c>
      <c r="H570" s="30" t="s">
        <v>654</v>
      </c>
      <c r="I570" s="31">
        <v>3056</v>
      </c>
    </row>
    <row r="571" spans="6:9">
      <c r="F571" s="29" t="s">
        <v>10</v>
      </c>
      <c r="G571" s="30" t="s">
        <v>659</v>
      </c>
      <c r="H571" s="30" t="s">
        <v>661</v>
      </c>
      <c r="I571" s="31">
        <v>7535</v>
      </c>
    </row>
    <row r="572" spans="6:9">
      <c r="F572" s="29" t="s">
        <v>16</v>
      </c>
      <c r="G572" s="30" t="s">
        <v>670</v>
      </c>
      <c r="H572" s="30" t="s">
        <v>674</v>
      </c>
      <c r="I572" s="31">
        <v>8404</v>
      </c>
    </row>
    <row r="573" spans="6:9">
      <c r="F573" s="29" t="s">
        <v>10</v>
      </c>
      <c r="G573" s="30" t="s">
        <v>670</v>
      </c>
      <c r="H573" s="30" t="s">
        <v>664</v>
      </c>
      <c r="I573" s="31">
        <v>301</v>
      </c>
    </row>
    <row r="574" spans="6:9">
      <c r="F574" s="29" t="s">
        <v>111</v>
      </c>
      <c r="G574" s="30" t="s">
        <v>659</v>
      </c>
      <c r="H574" s="30" t="s">
        <v>654</v>
      </c>
      <c r="I574" s="31">
        <v>5928</v>
      </c>
    </row>
    <row r="575" spans="6:9">
      <c r="F575" s="29" t="s">
        <v>111</v>
      </c>
      <c r="G575" s="30" t="s">
        <v>657</v>
      </c>
      <c r="H575" s="30" t="s">
        <v>678</v>
      </c>
      <c r="I575" s="31">
        <v>8665</v>
      </c>
    </row>
    <row r="576" spans="6:9">
      <c r="F576" s="29" t="s">
        <v>111</v>
      </c>
      <c r="G576" s="30" t="s">
        <v>666</v>
      </c>
      <c r="H576" s="30" t="s">
        <v>673</v>
      </c>
      <c r="I576" s="31">
        <v>4392</v>
      </c>
    </row>
    <row r="577" spans="6:9">
      <c r="F577" s="29" t="s">
        <v>16</v>
      </c>
      <c r="G577" s="30" t="s">
        <v>662</v>
      </c>
      <c r="H577" s="30" t="s">
        <v>663</v>
      </c>
      <c r="I577" s="31">
        <v>4717</v>
      </c>
    </row>
    <row r="578" spans="6:9">
      <c r="F578" s="29" t="s">
        <v>10</v>
      </c>
      <c r="G578" s="30" t="s">
        <v>662</v>
      </c>
      <c r="H578" s="30" t="s">
        <v>663</v>
      </c>
      <c r="I578" s="31">
        <v>2875</v>
      </c>
    </row>
    <row r="579" spans="6:9">
      <c r="F579" s="29" t="s">
        <v>14</v>
      </c>
      <c r="G579" s="30" t="s">
        <v>671</v>
      </c>
      <c r="H579" s="30" t="s">
        <v>675</v>
      </c>
      <c r="I579" s="31">
        <v>7751</v>
      </c>
    </row>
    <row r="580" spans="6:9">
      <c r="F580" s="29" t="s">
        <v>10</v>
      </c>
      <c r="G580" s="30" t="s">
        <v>670</v>
      </c>
      <c r="H580" s="30" t="s">
        <v>664</v>
      </c>
      <c r="I580" s="31">
        <v>4223</v>
      </c>
    </row>
    <row r="581" spans="6:9">
      <c r="F581" s="29" t="s">
        <v>10</v>
      </c>
      <c r="G581" s="30" t="s">
        <v>659</v>
      </c>
      <c r="H581" s="30" t="s">
        <v>661</v>
      </c>
      <c r="I581" s="31">
        <v>2675</v>
      </c>
    </row>
    <row r="582" spans="6:9">
      <c r="F582" s="29" t="s">
        <v>10</v>
      </c>
      <c r="G582" s="30" t="s">
        <v>660</v>
      </c>
      <c r="H582" s="30" t="s">
        <v>664</v>
      </c>
      <c r="I582" s="31">
        <v>1538</v>
      </c>
    </row>
    <row r="583" spans="6:9">
      <c r="F583" s="29" t="s">
        <v>10</v>
      </c>
      <c r="G583" s="30" t="s">
        <v>652</v>
      </c>
      <c r="H583" s="30" t="s">
        <v>656</v>
      </c>
      <c r="I583" s="31">
        <v>5999</v>
      </c>
    </row>
    <row r="584" spans="6:9">
      <c r="F584" s="29" t="s">
        <v>10</v>
      </c>
      <c r="G584" s="30" t="s">
        <v>657</v>
      </c>
      <c r="H584" s="30" t="s">
        <v>658</v>
      </c>
      <c r="I584" s="31">
        <v>8371</v>
      </c>
    </row>
    <row r="585" spans="6:9">
      <c r="F585" s="29" t="s">
        <v>14</v>
      </c>
      <c r="G585" s="30" t="s">
        <v>670</v>
      </c>
      <c r="H585" s="30" t="s">
        <v>669</v>
      </c>
      <c r="I585" s="31">
        <v>350</v>
      </c>
    </row>
    <row r="586" spans="6:9">
      <c r="F586" s="29" t="s">
        <v>14</v>
      </c>
      <c r="G586" s="30" t="s">
        <v>671</v>
      </c>
      <c r="H586" s="30" t="s">
        <v>674</v>
      </c>
      <c r="I586" s="31">
        <v>8115</v>
      </c>
    </row>
    <row r="587" spans="6:9">
      <c r="F587" s="29" t="s">
        <v>10</v>
      </c>
      <c r="G587" s="30" t="s">
        <v>671</v>
      </c>
      <c r="H587" s="30" t="s">
        <v>675</v>
      </c>
      <c r="I587" s="31">
        <v>5593</v>
      </c>
    </row>
    <row r="588" spans="6:9">
      <c r="F588" s="29" t="s">
        <v>10</v>
      </c>
      <c r="G588" s="30" t="s">
        <v>660</v>
      </c>
      <c r="H588" s="30" t="s">
        <v>661</v>
      </c>
      <c r="I588" s="31">
        <v>2236</v>
      </c>
    </row>
    <row r="589" spans="6:9">
      <c r="F589" s="29" t="s">
        <v>16</v>
      </c>
      <c r="G589" s="30" t="s">
        <v>657</v>
      </c>
      <c r="H589" s="30" t="s">
        <v>678</v>
      </c>
      <c r="I589" s="31">
        <v>7092</v>
      </c>
    </row>
    <row r="590" spans="6:9">
      <c r="F590" s="29" t="s">
        <v>16</v>
      </c>
      <c r="G590" s="30" t="s">
        <v>652</v>
      </c>
      <c r="H590" s="30" t="s">
        <v>656</v>
      </c>
      <c r="I590" s="31">
        <v>6115</v>
      </c>
    </row>
    <row r="591" spans="6:9">
      <c r="F591" s="29" t="s">
        <v>16</v>
      </c>
      <c r="G591" s="30" t="s">
        <v>666</v>
      </c>
      <c r="H591" s="30" t="s">
        <v>673</v>
      </c>
      <c r="I591" s="31">
        <v>3357</v>
      </c>
    </row>
    <row r="592" spans="6:9">
      <c r="F592" s="29" t="s">
        <v>10</v>
      </c>
      <c r="G592" s="30" t="s">
        <v>657</v>
      </c>
      <c r="H592" s="30" t="s">
        <v>681</v>
      </c>
      <c r="I592" s="31">
        <v>6663</v>
      </c>
    </row>
    <row r="593" spans="6:9">
      <c r="F593" s="29" t="s">
        <v>10</v>
      </c>
      <c r="G593" s="30" t="s">
        <v>666</v>
      </c>
      <c r="H593" s="30" t="s">
        <v>677</v>
      </c>
      <c r="I593" s="31">
        <v>9544</v>
      </c>
    </row>
    <row r="594" spans="6:9">
      <c r="F594" s="29" t="s">
        <v>111</v>
      </c>
      <c r="G594" s="30" t="s">
        <v>657</v>
      </c>
      <c r="H594" s="30" t="s">
        <v>678</v>
      </c>
      <c r="I594" s="31">
        <v>1615</v>
      </c>
    </row>
    <row r="595" spans="6:9">
      <c r="F595" s="29" t="s">
        <v>16</v>
      </c>
      <c r="G595" s="30" t="s">
        <v>649</v>
      </c>
      <c r="H595" s="30" t="s">
        <v>648</v>
      </c>
      <c r="I595" s="31">
        <v>1056</v>
      </c>
    </row>
    <row r="596" spans="6:9">
      <c r="F596" s="29" t="s">
        <v>14</v>
      </c>
      <c r="G596" s="30" t="s">
        <v>657</v>
      </c>
      <c r="H596" s="30" t="s">
        <v>680</v>
      </c>
      <c r="I596" s="31">
        <v>8208</v>
      </c>
    </row>
    <row r="597" spans="6:9">
      <c r="F597" s="29" t="s">
        <v>16</v>
      </c>
      <c r="G597" s="30" t="s">
        <v>652</v>
      </c>
      <c r="H597" s="30" t="s">
        <v>653</v>
      </c>
      <c r="I597" s="31">
        <v>5535</v>
      </c>
    </row>
    <row r="598" spans="6:9">
      <c r="F598" s="29" t="s">
        <v>10</v>
      </c>
      <c r="G598" s="30" t="s">
        <v>666</v>
      </c>
      <c r="H598" s="30" t="s">
        <v>673</v>
      </c>
      <c r="I598" s="31">
        <v>2814</v>
      </c>
    </row>
    <row r="599" spans="6:9">
      <c r="F599" s="29" t="s">
        <v>14</v>
      </c>
      <c r="G599" s="30" t="s">
        <v>670</v>
      </c>
      <c r="H599" s="30" t="s">
        <v>664</v>
      </c>
      <c r="I599" s="31">
        <v>2208</v>
      </c>
    </row>
    <row r="600" spans="6:9">
      <c r="F600" s="29" t="s">
        <v>111</v>
      </c>
      <c r="G600" s="30" t="s">
        <v>670</v>
      </c>
      <c r="H600" s="30" t="s">
        <v>664</v>
      </c>
      <c r="I600" s="31">
        <v>9465</v>
      </c>
    </row>
    <row r="601" spans="6:9">
      <c r="F601" s="29" t="s">
        <v>14</v>
      </c>
      <c r="G601" s="30" t="s">
        <v>662</v>
      </c>
      <c r="H601" s="30" t="s">
        <v>676</v>
      </c>
      <c r="I601" s="31">
        <v>1893</v>
      </c>
    </row>
    <row r="602" spans="6:9">
      <c r="F602" s="29" t="s">
        <v>14</v>
      </c>
      <c r="G602" s="30" t="s">
        <v>662</v>
      </c>
      <c r="H602" s="30" t="s">
        <v>679</v>
      </c>
      <c r="I602" s="31">
        <v>3915</v>
      </c>
    </row>
    <row r="603" spans="6:9">
      <c r="F603" s="29" t="s">
        <v>111</v>
      </c>
      <c r="G603" s="30" t="s">
        <v>671</v>
      </c>
      <c r="H603" s="30" t="s">
        <v>672</v>
      </c>
      <c r="I603" s="31">
        <v>6642</v>
      </c>
    </row>
    <row r="604" spans="6:9">
      <c r="F604" s="29" t="s">
        <v>14</v>
      </c>
      <c r="G604" s="30" t="s">
        <v>649</v>
      </c>
      <c r="H604" s="30" t="s">
        <v>651</v>
      </c>
      <c r="I604" s="31">
        <v>7903</v>
      </c>
    </row>
    <row r="605" spans="6:9">
      <c r="F605" s="29" t="s">
        <v>14</v>
      </c>
      <c r="G605" s="30" t="s">
        <v>662</v>
      </c>
      <c r="H605" s="30" t="s">
        <v>663</v>
      </c>
      <c r="I605" s="31">
        <v>3675</v>
      </c>
    </row>
    <row r="606" spans="6:9">
      <c r="F606" s="29" t="s">
        <v>16</v>
      </c>
      <c r="G606" s="30" t="s">
        <v>657</v>
      </c>
      <c r="H606" s="30" t="s">
        <v>678</v>
      </c>
      <c r="I606" s="31">
        <v>9963</v>
      </c>
    </row>
    <row r="607" spans="6:9">
      <c r="F607" s="29" t="s">
        <v>14</v>
      </c>
      <c r="G607" s="30" t="s">
        <v>666</v>
      </c>
      <c r="H607" s="30" t="s">
        <v>673</v>
      </c>
      <c r="I607" s="31">
        <v>4786</v>
      </c>
    </row>
    <row r="608" spans="6:9">
      <c r="F608" s="29" t="s">
        <v>111</v>
      </c>
      <c r="G608" s="30" t="s">
        <v>652</v>
      </c>
      <c r="H608" s="30" t="s">
        <v>654</v>
      </c>
      <c r="I608" s="31">
        <v>6624</v>
      </c>
    </row>
    <row r="609" spans="6:9">
      <c r="F609" s="29" t="s">
        <v>10</v>
      </c>
      <c r="G609" s="30" t="s">
        <v>652</v>
      </c>
      <c r="H609" s="30" t="s">
        <v>656</v>
      </c>
      <c r="I609" s="31">
        <v>3718</v>
      </c>
    </row>
    <row r="610" spans="6:9">
      <c r="F610" s="29" t="s">
        <v>10</v>
      </c>
      <c r="G610" s="30" t="s">
        <v>660</v>
      </c>
      <c r="H610" s="30" t="s">
        <v>665</v>
      </c>
      <c r="I610" s="31">
        <v>7439</v>
      </c>
    </row>
    <row r="611" spans="6:9">
      <c r="F611" s="29" t="s">
        <v>16</v>
      </c>
      <c r="G611" s="30" t="s">
        <v>662</v>
      </c>
      <c r="H611" s="30" t="s">
        <v>676</v>
      </c>
      <c r="I611" s="31">
        <v>9995</v>
      </c>
    </row>
    <row r="612" spans="6:9">
      <c r="F612" s="29" t="s">
        <v>111</v>
      </c>
      <c r="G612" s="30" t="s">
        <v>659</v>
      </c>
      <c r="H612" s="30" t="s">
        <v>654</v>
      </c>
      <c r="I612" s="31">
        <v>4425</v>
      </c>
    </row>
    <row r="613" spans="6:9">
      <c r="F613" s="29" t="s">
        <v>10</v>
      </c>
      <c r="G613" s="30" t="s">
        <v>671</v>
      </c>
      <c r="H613" s="30" t="s">
        <v>672</v>
      </c>
      <c r="I613" s="31">
        <v>9582</v>
      </c>
    </row>
    <row r="614" spans="6:9">
      <c r="F614" s="29" t="s">
        <v>10</v>
      </c>
      <c r="G614" s="30" t="s">
        <v>660</v>
      </c>
      <c r="H614" s="30" t="s">
        <v>661</v>
      </c>
      <c r="I614" s="31">
        <v>7846</v>
      </c>
    </row>
    <row r="615" spans="6:9">
      <c r="F615" s="29" t="s">
        <v>14</v>
      </c>
      <c r="G615" s="30" t="s">
        <v>660</v>
      </c>
      <c r="H615" s="30" t="s">
        <v>664</v>
      </c>
      <c r="I615" s="31">
        <v>5097</v>
      </c>
    </row>
    <row r="616" spans="6:9">
      <c r="F616" s="29" t="s">
        <v>10</v>
      </c>
      <c r="G616" s="30" t="s">
        <v>666</v>
      </c>
      <c r="H616" s="30" t="s">
        <v>673</v>
      </c>
      <c r="I616" s="31">
        <v>3846</v>
      </c>
    </row>
    <row r="617" spans="6:9">
      <c r="F617" s="29" t="s">
        <v>16</v>
      </c>
      <c r="G617" s="30" t="s">
        <v>666</v>
      </c>
      <c r="H617" s="30" t="s">
        <v>673</v>
      </c>
      <c r="I617" s="31">
        <v>2489</v>
      </c>
    </row>
    <row r="618" spans="6:9">
      <c r="F618" s="29" t="s">
        <v>14</v>
      </c>
      <c r="G618" s="30" t="s">
        <v>662</v>
      </c>
      <c r="H618" s="30" t="s">
        <v>676</v>
      </c>
      <c r="I618" s="31">
        <v>4969</v>
      </c>
    </row>
    <row r="619" spans="6:9">
      <c r="F619" s="29" t="s">
        <v>14</v>
      </c>
      <c r="G619" s="30" t="s">
        <v>666</v>
      </c>
      <c r="H619" s="30" t="s">
        <v>673</v>
      </c>
      <c r="I619" s="31">
        <v>5841</v>
      </c>
    </row>
    <row r="620" spans="6:9">
      <c r="F620" s="29" t="s">
        <v>111</v>
      </c>
      <c r="G620" s="30" t="s">
        <v>670</v>
      </c>
      <c r="H620" s="30" t="s">
        <v>661</v>
      </c>
      <c r="I620" s="31">
        <v>8348</v>
      </c>
    </row>
    <row r="621" spans="6:9">
      <c r="F621" s="29" t="s">
        <v>111</v>
      </c>
      <c r="G621" s="30" t="s">
        <v>662</v>
      </c>
      <c r="H621" s="30" t="s">
        <v>676</v>
      </c>
      <c r="I621" s="31">
        <v>2910</v>
      </c>
    </row>
    <row r="622" spans="6:9">
      <c r="F622" s="29" t="s">
        <v>10</v>
      </c>
      <c r="G622" s="30" t="s">
        <v>659</v>
      </c>
      <c r="H622" s="30" t="s">
        <v>655</v>
      </c>
      <c r="I622" s="31">
        <v>7993</v>
      </c>
    </row>
    <row r="623" spans="6:9">
      <c r="F623" s="29" t="s">
        <v>16</v>
      </c>
      <c r="G623" s="30" t="s">
        <v>670</v>
      </c>
      <c r="H623" s="30" t="s">
        <v>669</v>
      </c>
      <c r="I623" s="31">
        <v>5185</v>
      </c>
    </row>
    <row r="624" spans="6:9">
      <c r="F624" s="29" t="s">
        <v>14</v>
      </c>
      <c r="G624" s="30" t="s">
        <v>660</v>
      </c>
      <c r="H624" s="30" t="s">
        <v>665</v>
      </c>
      <c r="I624" s="31">
        <v>8896</v>
      </c>
    </row>
    <row r="625" spans="6:9">
      <c r="F625" s="29" t="s">
        <v>10</v>
      </c>
      <c r="G625" s="30" t="s">
        <v>660</v>
      </c>
      <c r="H625" s="30" t="s">
        <v>665</v>
      </c>
      <c r="I625" s="31">
        <v>2649</v>
      </c>
    </row>
    <row r="626" spans="6:9">
      <c r="F626" s="29" t="s">
        <v>111</v>
      </c>
      <c r="G626" s="30" t="s">
        <v>670</v>
      </c>
      <c r="H626" s="30" t="s">
        <v>674</v>
      </c>
      <c r="I626" s="31">
        <v>4160</v>
      </c>
    </row>
    <row r="627" spans="6:9">
      <c r="F627" s="29" t="s">
        <v>14</v>
      </c>
      <c r="G627" s="30" t="s">
        <v>652</v>
      </c>
      <c r="H627" s="30" t="s">
        <v>654</v>
      </c>
      <c r="I627" s="31">
        <v>1374</v>
      </c>
    </row>
    <row r="628" spans="6:9">
      <c r="F628" s="29" t="s">
        <v>10</v>
      </c>
      <c r="G628" s="30" t="s">
        <v>657</v>
      </c>
      <c r="H628" s="30" t="s">
        <v>678</v>
      </c>
      <c r="I628" s="31">
        <v>3968</v>
      </c>
    </row>
    <row r="629" spans="6:9">
      <c r="F629" s="29" t="s">
        <v>10</v>
      </c>
      <c r="G629" s="30" t="s">
        <v>670</v>
      </c>
      <c r="H629" s="30" t="s">
        <v>674</v>
      </c>
      <c r="I629" s="31">
        <v>7487</v>
      </c>
    </row>
    <row r="630" spans="6:9">
      <c r="F630" s="29" t="s">
        <v>111</v>
      </c>
      <c r="G630" s="30" t="s">
        <v>670</v>
      </c>
      <c r="H630" s="30" t="s">
        <v>674</v>
      </c>
      <c r="I630" s="31">
        <v>7579</v>
      </c>
    </row>
    <row r="631" spans="6:9">
      <c r="F631" s="29" t="s">
        <v>14</v>
      </c>
      <c r="G631" s="30" t="s">
        <v>659</v>
      </c>
      <c r="H631" s="30" t="s">
        <v>654</v>
      </c>
      <c r="I631" s="31">
        <v>7469</v>
      </c>
    </row>
    <row r="632" spans="6:9">
      <c r="F632" s="29" t="s">
        <v>111</v>
      </c>
      <c r="G632" s="30" t="s">
        <v>657</v>
      </c>
      <c r="H632" s="30" t="s">
        <v>678</v>
      </c>
      <c r="I632" s="31">
        <v>8524</v>
      </c>
    </row>
    <row r="633" spans="6:9">
      <c r="F633" s="29" t="s">
        <v>14</v>
      </c>
      <c r="G633" s="30" t="s">
        <v>660</v>
      </c>
      <c r="H633" s="30" t="s">
        <v>664</v>
      </c>
      <c r="I633" s="31">
        <v>1744</v>
      </c>
    </row>
    <row r="634" spans="6:9">
      <c r="F634" s="29" t="s">
        <v>111</v>
      </c>
      <c r="G634" s="30" t="s">
        <v>660</v>
      </c>
      <c r="H634" s="30" t="s">
        <v>661</v>
      </c>
      <c r="I634" s="31">
        <v>4668</v>
      </c>
    </row>
    <row r="635" spans="6:9">
      <c r="F635" s="29" t="s">
        <v>16</v>
      </c>
      <c r="G635" s="30" t="s">
        <v>649</v>
      </c>
      <c r="H635" s="30" t="s">
        <v>651</v>
      </c>
      <c r="I635" s="31">
        <v>7324</v>
      </c>
    </row>
    <row r="636" spans="6:9">
      <c r="F636" s="29" t="s">
        <v>111</v>
      </c>
      <c r="G636" s="30" t="s">
        <v>659</v>
      </c>
      <c r="H636" s="30" t="s">
        <v>654</v>
      </c>
      <c r="I636" s="31">
        <v>1334</v>
      </c>
    </row>
    <row r="637" spans="6:9">
      <c r="F637" s="29" t="s">
        <v>10</v>
      </c>
      <c r="G637" s="30" t="s">
        <v>659</v>
      </c>
      <c r="H637" s="30" t="s">
        <v>654</v>
      </c>
      <c r="I637" s="31">
        <v>6422</v>
      </c>
    </row>
    <row r="638" spans="6:9">
      <c r="F638" s="29" t="s">
        <v>14</v>
      </c>
      <c r="G638" s="30" t="s">
        <v>652</v>
      </c>
      <c r="H638" s="30" t="s">
        <v>654</v>
      </c>
      <c r="I638" s="31">
        <v>8676</v>
      </c>
    </row>
    <row r="639" spans="6:9">
      <c r="F639" s="29" t="s">
        <v>14</v>
      </c>
      <c r="G639" s="30" t="s">
        <v>662</v>
      </c>
      <c r="H639" s="30" t="s">
        <v>663</v>
      </c>
      <c r="I639" s="31">
        <v>9810</v>
      </c>
    </row>
    <row r="640" spans="6:9">
      <c r="F640" s="29" t="s">
        <v>10</v>
      </c>
      <c r="G640" s="30" t="s">
        <v>659</v>
      </c>
      <c r="H640" s="30" t="s">
        <v>655</v>
      </c>
      <c r="I640" s="31">
        <v>4199</v>
      </c>
    </row>
    <row r="641" spans="6:9">
      <c r="F641" s="29" t="s">
        <v>16</v>
      </c>
      <c r="G641" s="30" t="s">
        <v>670</v>
      </c>
      <c r="H641" s="30" t="s">
        <v>664</v>
      </c>
      <c r="I641" s="31">
        <v>3581</v>
      </c>
    </row>
    <row r="642" spans="6:9">
      <c r="F642" s="29" t="s">
        <v>16</v>
      </c>
      <c r="G642" s="30" t="s">
        <v>657</v>
      </c>
      <c r="H642" s="30" t="s">
        <v>678</v>
      </c>
      <c r="I642" s="31">
        <v>6176</v>
      </c>
    </row>
    <row r="643" spans="6:9">
      <c r="F643" s="29" t="s">
        <v>14</v>
      </c>
      <c r="G643" s="30" t="s">
        <v>660</v>
      </c>
      <c r="H643" s="30" t="s">
        <v>664</v>
      </c>
      <c r="I643" s="31">
        <v>3614</v>
      </c>
    </row>
    <row r="644" spans="6:9">
      <c r="F644" s="29" t="s">
        <v>14</v>
      </c>
      <c r="G644" s="30" t="s">
        <v>657</v>
      </c>
      <c r="H644" s="30" t="s">
        <v>678</v>
      </c>
      <c r="I644" s="31">
        <v>7714</v>
      </c>
    </row>
    <row r="645" spans="6:9">
      <c r="F645" s="29" t="s">
        <v>111</v>
      </c>
      <c r="G645" s="30" t="s">
        <v>662</v>
      </c>
      <c r="H645" s="30" t="s">
        <v>679</v>
      </c>
      <c r="I645" s="31">
        <v>9441</v>
      </c>
    </row>
    <row r="646" spans="6:9">
      <c r="F646" s="29" t="s">
        <v>10</v>
      </c>
      <c r="G646" s="30" t="s">
        <v>666</v>
      </c>
      <c r="H646" s="30" t="s">
        <v>667</v>
      </c>
      <c r="I646" s="31">
        <v>8142</v>
      </c>
    </row>
    <row r="647" spans="6:9">
      <c r="F647" s="29" t="s">
        <v>111</v>
      </c>
      <c r="G647" s="30" t="s">
        <v>652</v>
      </c>
      <c r="H647" s="30" t="s">
        <v>653</v>
      </c>
      <c r="I647" s="31">
        <v>8307</v>
      </c>
    </row>
    <row r="648" spans="6:9">
      <c r="F648" s="29" t="s">
        <v>10</v>
      </c>
      <c r="G648" s="30" t="s">
        <v>660</v>
      </c>
      <c r="H648" s="30" t="s">
        <v>664</v>
      </c>
      <c r="I648" s="31">
        <v>7539</v>
      </c>
    </row>
    <row r="649" spans="6:9">
      <c r="F649" s="29" t="s">
        <v>10</v>
      </c>
      <c r="G649" s="30" t="s">
        <v>662</v>
      </c>
      <c r="H649" s="30" t="s">
        <v>679</v>
      </c>
      <c r="I649" s="31">
        <v>537</v>
      </c>
    </row>
    <row r="650" spans="6:9">
      <c r="F650" s="29" t="s">
        <v>16</v>
      </c>
      <c r="G650" s="30" t="s">
        <v>670</v>
      </c>
      <c r="H650" s="30" t="s">
        <v>661</v>
      </c>
      <c r="I650" s="31">
        <v>5737</v>
      </c>
    </row>
    <row r="651" spans="6:9">
      <c r="F651" s="29" t="s">
        <v>16</v>
      </c>
      <c r="G651" s="30" t="s">
        <v>652</v>
      </c>
      <c r="H651" s="30" t="s">
        <v>654</v>
      </c>
      <c r="I651" s="31">
        <v>5475</v>
      </c>
    </row>
    <row r="652" spans="6:9">
      <c r="F652" s="29" t="s">
        <v>14</v>
      </c>
      <c r="G652" s="30" t="s">
        <v>652</v>
      </c>
      <c r="H652" s="30" t="s">
        <v>654</v>
      </c>
      <c r="I652" s="31">
        <v>1953</v>
      </c>
    </row>
    <row r="653" spans="6:9">
      <c r="F653" s="29" t="s">
        <v>16</v>
      </c>
      <c r="G653" s="30" t="s">
        <v>652</v>
      </c>
      <c r="H653" s="30" t="s">
        <v>653</v>
      </c>
      <c r="I653" s="31">
        <v>3996</v>
      </c>
    </row>
    <row r="654" spans="6:9">
      <c r="F654" s="29" t="s">
        <v>111</v>
      </c>
      <c r="G654" s="30" t="s">
        <v>670</v>
      </c>
      <c r="H654" s="30" t="s">
        <v>664</v>
      </c>
      <c r="I654" s="31">
        <v>6748</v>
      </c>
    </row>
    <row r="655" spans="6:9">
      <c r="F655" s="29" t="s">
        <v>16</v>
      </c>
      <c r="G655" s="30" t="s">
        <v>670</v>
      </c>
      <c r="H655" s="30" t="s">
        <v>674</v>
      </c>
      <c r="I655" s="31">
        <v>7326</v>
      </c>
    </row>
    <row r="656" spans="6:9">
      <c r="F656" s="29" t="s">
        <v>111</v>
      </c>
      <c r="G656" s="30" t="s">
        <v>662</v>
      </c>
      <c r="H656" s="30" t="s">
        <v>676</v>
      </c>
      <c r="I656" s="31">
        <v>9071</v>
      </c>
    </row>
    <row r="657" spans="6:9">
      <c r="F657" s="29" t="s">
        <v>111</v>
      </c>
      <c r="G657" s="30" t="s">
        <v>660</v>
      </c>
      <c r="H657" s="30" t="s">
        <v>668</v>
      </c>
      <c r="I657" s="31">
        <v>3299</v>
      </c>
    </row>
    <row r="658" spans="6:9">
      <c r="F658" s="29" t="s">
        <v>10</v>
      </c>
      <c r="G658" s="30" t="s">
        <v>660</v>
      </c>
      <c r="H658" s="30" t="s">
        <v>668</v>
      </c>
      <c r="I658" s="31">
        <v>4298</v>
      </c>
    </row>
    <row r="659" spans="6:9">
      <c r="F659" s="29" t="s">
        <v>16</v>
      </c>
      <c r="G659" s="30" t="s">
        <v>670</v>
      </c>
      <c r="H659" s="30" t="s">
        <v>661</v>
      </c>
      <c r="I659" s="31">
        <v>1998</v>
      </c>
    </row>
    <row r="660" spans="6:9">
      <c r="F660" s="29" t="s">
        <v>10</v>
      </c>
      <c r="G660" s="30" t="s">
        <v>670</v>
      </c>
      <c r="H660" s="30" t="s">
        <v>674</v>
      </c>
      <c r="I660" s="31">
        <v>6090</v>
      </c>
    </row>
    <row r="661" spans="6:9">
      <c r="F661" s="29" t="s">
        <v>111</v>
      </c>
      <c r="G661" s="30" t="s">
        <v>660</v>
      </c>
      <c r="H661" s="30" t="s">
        <v>665</v>
      </c>
      <c r="I661" s="31">
        <v>3962</v>
      </c>
    </row>
    <row r="662" spans="6:9">
      <c r="F662" s="29" t="s">
        <v>10</v>
      </c>
      <c r="G662" s="30" t="s">
        <v>660</v>
      </c>
      <c r="H662" s="30" t="s">
        <v>664</v>
      </c>
      <c r="I662" s="31">
        <v>657</v>
      </c>
    </row>
    <row r="663" spans="6:9">
      <c r="F663" s="29" t="s">
        <v>111</v>
      </c>
      <c r="G663" s="30" t="s">
        <v>660</v>
      </c>
      <c r="H663" s="30" t="s">
        <v>664</v>
      </c>
      <c r="I663" s="31">
        <v>4280</v>
      </c>
    </row>
    <row r="664" spans="6:9">
      <c r="F664" s="29" t="s">
        <v>10</v>
      </c>
      <c r="G664" s="30" t="s">
        <v>652</v>
      </c>
      <c r="H664" s="30" t="s">
        <v>653</v>
      </c>
      <c r="I664" s="31">
        <v>8008</v>
      </c>
    </row>
    <row r="665" spans="6:9">
      <c r="F665" s="29" t="s">
        <v>10</v>
      </c>
      <c r="G665" s="30" t="s">
        <v>660</v>
      </c>
      <c r="H665" s="30" t="s">
        <v>664</v>
      </c>
      <c r="I665" s="31">
        <v>9552</v>
      </c>
    </row>
    <row r="666" spans="6:9">
      <c r="F666" s="29" t="s">
        <v>14</v>
      </c>
      <c r="G666" s="30" t="s">
        <v>659</v>
      </c>
      <c r="H666" s="30" t="s">
        <v>661</v>
      </c>
      <c r="I666" s="31">
        <v>2250</v>
      </c>
    </row>
    <row r="667" spans="6:9">
      <c r="F667" s="29" t="s">
        <v>111</v>
      </c>
      <c r="G667" s="30" t="s">
        <v>660</v>
      </c>
      <c r="H667" s="30" t="s">
        <v>664</v>
      </c>
      <c r="I667" s="31">
        <v>3590</v>
      </c>
    </row>
    <row r="668" spans="6:9">
      <c r="F668" s="29" t="s">
        <v>10</v>
      </c>
      <c r="G668" s="30" t="s">
        <v>657</v>
      </c>
      <c r="H668" s="30" t="s">
        <v>680</v>
      </c>
      <c r="I668" s="31">
        <v>6552</v>
      </c>
    </row>
    <row r="669" spans="6:9">
      <c r="F669" s="29" t="s">
        <v>10</v>
      </c>
      <c r="G669" s="30" t="s">
        <v>670</v>
      </c>
      <c r="H669" s="30" t="s">
        <v>674</v>
      </c>
      <c r="I669" s="31">
        <v>351</v>
      </c>
    </row>
    <row r="670" spans="6:9">
      <c r="F670" s="29" t="s">
        <v>14</v>
      </c>
      <c r="G670" s="30" t="s">
        <v>649</v>
      </c>
      <c r="H670" s="30" t="s">
        <v>655</v>
      </c>
      <c r="I670" s="31">
        <v>5129</v>
      </c>
    </row>
    <row r="671" spans="6:9">
      <c r="F671" s="29" t="s">
        <v>10</v>
      </c>
      <c r="G671" s="30" t="s">
        <v>649</v>
      </c>
      <c r="H671" s="30" t="s">
        <v>651</v>
      </c>
      <c r="I671" s="31">
        <v>5184</v>
      </c>
    </row>
    <row r="672" spans="6:9">
      <c r="F672" s="29" t="s">
        <v>14</v>
      </c>
      <c r="G672" s="30" t="s">
        <v>666</v>
      </c>
      <c r="H672" s="30" t="s">
        <v>673</v>
      </c>
      <c r="I672" s="31">
        <v>3769</v>
      </c>
    </row>
    <row r="673" spans="6:9">
      <c r="F673" s="29" t="s">
        <v>111</v>
      </c>
      <c r="G673" s="30" t="s">
        <v>671</v>
      </c>
      <c r="H673" s="30" t="s">
        <v>674</v>
      </c>
      <c r="I673" s="31">
        <v>8415</v>
      </c>
    </row>
    <row r="674" spans="6:9">
      <c r="F674" s="29" t="s">
        <v>10</v>
      </c>
      <c r="G674" s="30" t="s">
        <v>671</v>
      </c>
      <c r="H674" s="30" t="s">
        <v>675</v>
      </c>
      <c r="I674" s="31">
        <v>412</v>
      </c>
    </row>
    <row r="675" spans="6:9">
      <c r="F675" s="29" t="s">
        <v>111</v>
      </c>
      <c r="G675" s="30" t="s">
        <v>670</v>
      </c>
      <c r="H675" s="30" t="s">
        <v>674</v>
      </c>
      <c r="I675" s="31">
        <v>5150</v>
      </c>
    </row>
    <row r="676" spans="6:9">
      <c r="F676" s="29" t="s">
        <v>14</v>
      </c>
      <c r="G676" s="30" t="s">
        <v>670</v>
      </c>
      <c r="H676" s="30" t="s">
        <v>661</v>
      </c>
      <c r="I676" s="31">
        <v>9046</v>
      </c>
    </row>
    <row r="677" spans="6:9">
      <c r="F677" s="29" t="s">
        <v>14</v>
      </c>
      <c r="G677" s="30" t="s">
        <v>657</v>
      </c>
      <c r="H677" s="30" t="s">
        <v>678</v>
      </c>
      <c r="I677" s="31">
        <v>8466</v>
      </c>
    </row>
    <row r="678" spans="6:9">
      <c r="F678" s="29" t="s">
        <v>111</v>
      </c>
      <c r="G678" s="30" t="s">
        <v>649</v>
      </c>
      <c r="H678" s="30" t="s">
        <v>648</v>
      </c>
      <c r="I678" s="31">
        <v>6584</v>
      </c>
    </row>
    <row r="679" spans="6:9">
      <c r="F679" s="29" t="s">
        <v>16</v>
      </c>
      <c r="G679" s="30" t="s">
        <v>670</v>
      </c>
      <c r="H679" s="30" t="s">
        <v>661</v>
      </c>
      <c r="I679" s="31">
        <v>4105</v>
      </c>
    </row>
    <row r="680" spans="6:9">
      <c r="F680" s="29" t="s">
        <v>10</v>
      </c>
      <c r="G680" s="30" t="s">
        <v>657</v>
      </c>
      <c r="H680" s="30" t="s">
        <v>681</v>
      </c>
      <c r="I680" s="31">
        <v>6803</v>
      </c>
    </row>
    <row r="681" spans="6:9">
      <c r="F681" s="29" t="s">
        <v>14</v>
      </c>
      <c r="G681" s="30" t="s">
        <v>670</v>
      </c>
      <c r="H681" s="30" t="s">
        <v>669</v>
      </c>
      <c r="I681" s="31">
        <v>6139</v>
      </c>
    </row>
    <row r="682" spans="6:9">
      <c r="F682" s="29" t="s">
        <v>111</v>
      </c>
      <c r="G682" s="30" t="s">
        <v>660</v>
      </c>
      <c r="H682" s="30" t="s">
        <v>665</v>
      </c>
      <c r="I682" s="31">
        <v>4721</v>
      </c>
    </row>
    <row r="683" spans="6:9">
      <c r="F683" s="29" t="s">
        <v>111</v>
      </c>
      <c r="G683" s="30" t="s">
        <v>659</v>
      </c>
      <c r="H683" s="30" t="s">
        <v>654</v>
      </c>
      <c r="I683" s="31">
        <v>1174</v>
      </c>
    </row>
    <row r="684" spans="6:9">
      <c r="F684" s="29" t="s">
        <v>14</v>
      </c>
      <c r="G684" s="30" t="s">
        <v>670</v>
      </c>
      <c r="H684" s="30" t="s">
        <v>661</v>
      </c>
      <c r="I684" s="31">
        <v>1040</v>
      </c>
    </row>
    <row r="685" spans="6:9">
      <c r="F685" s="29" t="s">
        <v>111</v>
      </c>
      <c r="G685" s="30" t="s">
        <v>657</v>
      </c>
      <c r="H685" s="30" t="s">
        <v>680</v>
      </c>
      <c r="I685" s="31">
        <v>7271</v>
      </c>
    </row>
    <row r="686" spans="6:9">
      <c r="F686" s="29" t="s">
        <v>14</v>
      </c>
      <c r="G686" s="30" t="s">
        <v>666</v>
      </c>
      <c r="H686" s="30" t="s">
        <v>667</v>
      </c>
      <c r="I686" s="31">
        <v>3389</v>
      </c>
    </row>
    <row r="687" spans="6:9">
      <c r="F687" s="29" t="s">
        <v>14</v>
      </c>
      <c r="G687" s="30" t="s">
        <v>659</v>
      </c>
      <c r="H687" s="30" t="s">
        <v>654</v>
      </c>
      <c r="I687" s="31">
        <v>9443</v>
      </c>
    </row>
    <row r="688" spans="6:9">
      <c r="F688" s="29" t="s">
        <v>16</v>
      </c>
      <c r="G688" s="30" t="s">
        <v>662</v>
      </c>
      <c r="H688" s="30" t="s">
        <v>663</v>
      </c>
      <c r="I688" s="31">
        <v>7104</v>
      </c>
    </row>
    <row r="689" spans="6:9">
      <c r="F689" s="29" t="s">
        <v>16</v>
      </c>
      <c r="G689" s="30" t="s">
        <v>671</v>
      </c>
      <c r="H689" s="30" t="s">
        <v>672</v>
      </c>
      <c r="I689" s="31">
        <v>8571</v>
      </c>
    </row>
    <row r="690" spans="6:9">
      <c r="F690" s="29" t="s">
        <v>10</v>
      </c>
      <c r="G690" s="30" t="s">
        <v>662</v>
      </c>
      <c r="H690" s="30" t="s">
        <v>676</v>
      </c>
      <c r="I690" s="31">
        <v>2071</v>
      </c>
    </row>
    <row r="691" spans="6:9">
      <c r="F691" s="29" t="s">
        <v>16</v>
      </c>
      <c r="G691" s="30" t="s">
        <v>670</v>
      </c>
      <c r="H691" s="30" t="s">
        <v>669</v>
      </c>
      <c r="I691" s="31">
        <v>4897</v>
      </c>
    </row>
    <row r="692" spans="6:9">
      <c r="F692" s="29" t="s">
        <v>16</v>
      </c>
      <c r="G692" s="30" t="s">
        <v>659</v>
      </c>
      <c r="H692" s="30" t="s">
        <v>661</v>
      </c>
      <c r="I692" s="31">
        <v>523</v>
      </c>
    </row>
    <row r="693" spans="6:9">
      <c r="F693" s="29" t="s">
        <v>14</v>
      </c>
      <c r="G693" s="30" t="s">
        <v>652</v>
      </c>
      <c r="H693" s="30" t="s">
        <v>656</v>
      </c>
      <c r="I693" s="31">
        <v>2184</v>
      </c>
    </row>
    <row r="694" spans="6:9">
      <c r="F694" s="29" t="s">
        <v>111</v>
      </c>
      <c r="G694" s="30" t="s">
        <v>649</v>
      </c>
      <c r="H694" s="30" t="s">
        <v>651</v>
      </c>
      <c r="I694" s="31">
        <v>2870</v>
      </c>
    </row>
    <row r="695" spans="6:9">
      <c r="F695" s="29" t="s">
        <v>16</v>
      </c>
      <c r="G695" s="30" t="s">
        <v>660</v>
      </c>
      <c r="H695" s="30" t="s">
        <v>661</v>
      </c>
      <c r="I695" s="31">
        <v>9239</v>
      </c>
    </row>
    <row r="696" spans="6:9">
      <c r="F696" s="29" t="s">
        <v>14</v>
      </c>
      <c r="G696" s="30" t="s">
        <v>657</v>
      </c>
      <c r="H696" s="30" t="s">
        <v>681</v>
      </c>
      <c r="I696" s="31">
        <v>2125</v>
      </c>
    </row>
    <row r="697" spans="6:9">
      <c r="F697" s="29" t="s">
        <v>10</v>
      </c>
      <c r="G697" s="30" t="s">
        <v>652</v>
      </c>
      <c r="H697" s="30" t="s">
        <v>656</v>
      </c>
      <c r="I697" s="31">
        <v>3699</v>
      </c>
    </row>
    <row r="698" spans="6:9">
      <c r="F698" s="29" t="s">
        <v>16</v>
      </c>
      <c r="G698" s="30" t="s">
        <v>666</v>
      </c>
      <c r="H698" s="30" t="s">
        <v>673</v>
      </c>
      <c r="I698" s="31">
        <v>9975</v>
      </c>
    </row>
    <row r="699" spans="6:9">
      <c r="F699" s="29" t="s">
        <v>10</v>
      </c>
      <c r="G699" s="30" t="s">
        <v>670</v>
      </c>
      <c r="H699" s="30" t="s">
        <v>674</v>
      </c>
      <c r="I699" s="31">
        <v>4970</v>
      </c>
    </row>
    <row r="700" spans="6:9">
      <c r="F700" s="29" t="s">
        <v>14</v>
      </c>
      <c r="G700" s="30" t="s">
        <v>671</v>
      </c>
      <c r="H700" s="30" t="s">
        <v>674</v>
      </c>
      <c r="I700" s="31">
        <v>3832</v>
      </c>
    </row>
    <row r="701" spans="6:9">
      <c r="F701" s="29" t="s">
        <v>111</v>
      </c>
      <c r="G701" s="30" t="s">
        <v>666</v>
      </c>
      <c r="H701" s="30" t="s">
        <v>673</v>
      </c>
      <c r="I701" s="31">
        <v>3175</v>
      </c>
    </row>
    <row r="702" spans="6:9">
      <c r="F702" s="29" t="s">
        <v>14</v>
      </c>
      <c r="G702" s="30" t="s">
        <v>657</v>
      </c>
      <c r="H702" s="30" t="s">
        <v>678</v>
      </c>
      <c r="I702" s="31">
        <v>9119</v>
      </c>
    </row>
    <row r="703" spans="6:9">
      <c r="F703" s="29" t="s">
        <v>14</v>
      </c>
      <c r="G703" s="30" t="s">
        <v>649</v>
      </c>
      <c r="H703" s="30" t="s">
        <v>655</v>
      </c>
      <c r="I703" s="31">
        <v>5006</v>
      </c>
    </row>
    <row r="704" spans="6:9">
      <c r="F704" s="29" t="s">
        <v>14</v>
      </c>
      <c r="G704" s="30" t="s">
        <v>649</v>
      </c>
      <c r="H704" s="30" t="s">
        <v>655</v>
      </c>
      <c r="I704" s="31">
        <v>8473</v>
      </c>
    </row>
    <row r="705" spans="6:9">
      <c r="F705" s="29" t="s">
        <v>111</v>
      </c>
      <c r="G705" s="30" t="s">
        <v>652</v>
      </c>
      <c r="H705" s="30" t="s">
        <v>656</v>
      </c>
      <c r="I705" s="31">
        <v>5782</v>
      </c>
    </row>
    <row r="706" spans="6:9">
      <c r="F706" s="29" t="s">
        <v>10</v>
      </c>
      <c r="G706" s="30" t="s">
        <v>659</v>
      </c>
      <c r="H706" s="30" t="s">
        <v>655</v>
      </c>
      <c r="I706" s="31">
        <v>5557</v>
      </c>
    </row>
    <row r="707" spans="6:9">
      <c r="F707" s="29" t="s">
        <v>10</v>
      </c>
      <c r="G707" s="30" t="s">
        <v>660</v>
      </c>
      <c r="H707" s="30" t="s">
        <v>661</v>
      </c>
      <c r="I707" s="31">
        <v>8669</v>
      </c>
    </row>
    <row r="708" spans="6:9">
      <c r="F708" s="29" t="s">
        <v>14</v>
      </c>
      <c r="G708" s="30" t="s">
        <v>660</v>
      </c>
      <c r="H708" s="30" t="s">
        <v>664</v>
      </c>
      <c r="I708" s="31">
        <v>2731</v>
      </c>
    </row>
    <row r="709" spans="6:9">
      <c r="F709" s="29" t="s">
        <v>111</v>
      </c>
      <c r="G709" s="30" t="s">
        <v>649</v>
      </c>
      <c r="H709" s="30" t="s">
        <v>648</v>
      </c>
      <c r="I709" s="31">
        <v>7301</v>
      </c>
    </row>
    <row r="710" spans="6:9">
      <c r="F710" s="29" t="s">
        <v>111</v>
      </c>
      <c r="G710" s="30" t="s">
        <v>652</v>
      </c>
      <c r="H710" s="30" t="s">
        <v>656</v>
      </c>
      <c r="I710" s="31">
        <v>4257</v>
      </c>
    </row>
    <row r="711" spans="6:9">
      <c r="F711" s="29" t="s">
        <v>14</v>
      </c>
      <c r="G711" s="30" t="s">
        <v>659</v>
      </c>
      <c r="H711" s="30" t="s">
        <v>661</v>
      </c>
      <c r="I711" s="31">
        <v>1106</v>
      </c>
    </row>
    <row r="712" spans="6:9">
      <c r="F712" s="29" t="s">
        <v>14</v>
      </c>
      <c r="G712" s="30" t="s">
        <v>657</v>
      </c>
      <c r="H712" s="30" t="s">
        <v>658</v>
      </c>
      <c r="I712" s="31">
        <v>9917</v>
      </c>
    </row>
    <row r="713" spans="6:9">
      <c r="F713" s="29" t="s">
        <v>111</v>
      </c>
      <c r="G713" s="30" t="s">
        <v>657</v>
      </c>
      <c r="H713" s="30" t="s">
        <v>658</v>
      </c>
      <c r="I713" s="31">
        <v>8079</v>
      </c>
    </row>
    <row r="714" spans="6:9">
      <c r="F714" s="29" t="s">
        <v>111</v>
      </c>
      <c r="G714" s="30" t="s">
        <v>657</v>
      </c>
      <c r="H714" s="30" t="s">
        <v>681</v>
      </c>
      <c r="I714" s="31">
        <v>7368</v>
      </c>
    </row>
    <row r="715" spans="6:9">
      <c r="F715" s="29" t="s">
        <v>111</v>
      </c>
      <c r="G715" s="30" t="s">
        <v>662</v>
      </c>
      <c r="H715" s="30" t="s">
        <v>663</v>
      </c>
      <c r="I715" s="31">
        <v>1141</v>
      </c>
    </row>
    <row r="716" spans="6:9">
      <c r="F716" s="29" t="s">
        <v>16</v>
      </c>
      <c r="G716" s="30" t="s">
        <v>649</v>
      </c>
      <c r="H716" s="30" t="s">
        <v>655</v>
      </c>
      <c r="I716" s="31">
        <v>5197</v>
      </c>
    </row>
    <row r="717" spans="6:9">
      <c r="F717" s="29" t="s">
        <v>111</v>
      </c>
      <c r="G717" s="30" t="s">
        <v>666</v>
      </c>
      <c r="H717" s="30" t="s">
        <v>673</v>
      </c>
      <c r="I717" s="31">
        <v>5699</v>
      </c>
    </row>
    <row r="718" spans="6:9">
      <c r="F718" s="29" t="s">
        <v>16</v>
      </c>
      <c r="G718" s="30" t="s">
        <v>660</v>
      </c>
      <c r="H718" s="30" t="s">
        <v>664</v>
      </c>
      <c r="I718" s="31">
        <v>1829</v>
      </c>
    </row>
    <row r="719" spans="6:9">
      <c r="F719" s="29" t="s">
        <v>10</v>
      </c>
      <c r="G719" s="30" t="s">
        <v>660</v>
      </c>
      <c r="H719" s="30" t="s">
        <v>668</v>
      </c>
      <c r="I719" s="31">
        <v>4215</v>
      </c>
    </row>
    <row r="720" spans="6:9">
      <c r="F720" s="29" t="s">
        <v>16</v>
      </c>
      <c r="G720" s="30" t="s">
        <v>671</v>
      </c>
      <c r="H720" s="30" t="s">
        <v>674</v>
      </c>
      <c r="I720" s="31">
        <v>6750</v>
      </c>
    </row>
    <row r="721" spans="6:9">
      <c r="F721" s="29" t="s">
        <v>16</v>
      </c>
      <c r="G721" s="30" t="s">
        <v>657</v>
      </c>
      <c r="H721" s="30" t="s">
        <v>681</v>
      </c>
      <c r="I721" s="31">
        <v>4787</v>
      </c>
    </row>
    <row r="722" spans="6:9">
      <c r="F722" s="29" t="s">
        <v>14</v>
      </c>
      <c r="G722" s="30" t="s">
        <v>652</v>
      </c>
      <c r="H722" s="30" t="s">
        <v>656</v>
      </c>
      <c r="I722" s="31">
        <v>2881</v>
      </c>
    </row>
    <row r="723" spans="6:9">
      <c r="F723" s="29" t="s">
        <v>14</v>
      </c>
      <c r="G723" s="30" t="s">
        <v>652</v>
      </c>
      <c r="H723" s="30" t="s">
        <v>656</v>
      </c>
      <c r="I723" s="31">
        <v>5561</v>
      </c>
    </row>
    <row r="724" spans="6:9">
      <c r="F724" s="29" t="s">
        <v>111</v>
      </c>
      <c r="G724" s="30" t="s">
        <v>659</v>
      </c>
      <c r="H724" s="30" t="s">
        <v>661</v>
      </c>
      <c r="I724" s="31">
        <v>1191</v>
      </c>
    </row>
    <row r="725" spans="6:9">
      <c r="F725" s="29" t="s">
        <v>14</v>
      </c>
      <c r="G725" s="30" t="s">
        <v>659</v>
      </c>
      <c r="H725" s="30" t="s">
        <v>661</v>
      </c>
      <c r="I725" s="31">
        <v>9349</v>
      </c>
    </row>
    <row r="726" spans="6:9">
      <c r="F726" s="29" t="s">
        <v>16</v>
      </c>
      <c r="G726" s="30" t="s">
        <v>670</v>
      </c>
      <c r="H726" s="30" t="s">
        <v>661</v>
      </c>
      <c r="I726" s="31">
        <v>8402</v>
      </c>
    </row>
    <row r="727" spans="6:9">
      <c r="F727" s="29" t="s">
        <v>16</v>
      </c>
      <c r="G727" s="30" t="s">
        <v>659</v>
      </c>
      <c r="H727" s="30" t="s">
        <v>654</v>
      </c>
      <c r="I727" s="31">
        <v>9906</v>
      </c>
    </row>
    <row r="728" spans="6:9">
      <c r="F728" s="29" t="s">
        <v>10</v>
      </c>
      <c r="G728" s="30" t="s">
        <v>662</v>
      </c>
      <c r="H728" s="30" t="s">
        <v>679</v>
      </c>
      <c r="I728" s="31">
        <v>8029</v>
      </c>
    </row>
    <row r="729" spans="6:9">
      <c r="F729" s="29" t="s">
        <v>10</v>
      </c>
      <c r="G729" s="30" t="s">
        <v>662</v>
      </c>
      <c r="H729" s="30" t="s">
        <v>679</v>
      </c>
      <c r="I729" s="31">
        <v>9417</v>
      </c>
    </row>
    <row r="730" spans="6:9">
      <c r="F730" s="29" t="s">
        <v>16</v>
      </c>
      <c r="G730" s="30" t="s">
        <v>659</v>
      </c>
      <c r="H730" s="30" t="s">
        <v>661</v>
      </c>
      <c r="I730" s="31">
        <v>6531</v>
      </c>
    </row>
    <row r="731" spans="6:9">
      <c r="F731" s="29" t="s">
        <v>14</v>
      </c>
      <c r="G731" s="30" t="s">
        <v>657</v>
      </c>
      <c r="H731" s="30" t="s">
        <v>678</v>
      </c>
      <c r="I731" s="31">
        <v>2622</v>
      </c>
    </row>
    <row r="732" spans="6:9">
      <c r="F732" s="29" t="s">
        <v>111</v>
      </c>
      <c r="G732" s="30" t="s">
        <v>657</v>
      </c>
      <c r="H732" s="30" t="s">
        <v>658</v>
      </c>
      <c r="I732" s="31">
        <v>3044</v>
      </c>
    </row>
    <row r="733" spans="6:9">
      <c r="F733" s="29" t="s">
        <v>14</v>
      </c>
      <c r="G733" s="30" t="s">
        <v>671</v>
      </c>
      <c r="H733" s="30" t="s">
        <v>674</v>
      </c>
      <c r="I733" s="31">
        <v>9686</v>
      </c>
    </row>
    <row r="734" spans="6:9">
      <c r="F734" s="29" t="s">
        <v>14</v>
      </c>
      <c r="G734" s="30" t="s">
        <v>666</v>
      </c>
      <c r="H734" s="30" t="s">
        <v>677</v>
      </c>
      <c r="I734" s="31">
        <v>5111</v>
      </c>
    </row>
    <row r="735" spans="6:9">
      <c r="F735" s="29" t="s">
        <v>16</v>
      </c>
      <c r="G735" s="30" t="s">
        <v>666</v>
      </c>
      <c r="H735" s="30" t="s">
        <v>673</v>
      </c>
      <c r="I735" s="31">
        <v>1429</v>
      </c>
    </row>
    <row r="736" spans="6:9">
      <c r="F736" s="29" t="s">
        <v>14</v>
      </c>
      <c r="G736" s="30" t="s">
        <v>660</v>
      </c>
      <c r="H736" s="30" t="s">
        <v>664</v>
      </c>
      <c r="I736" s="31">
        <v>4120</v>
      </c>
    </row>
    <row r="737" spans="6:9">
      <c r="F737" s="29" t="s">
        <v>111</v>
      </c>
      <c r="G737" s="30" t="s">
        <v>659</v>
      </c>
      <c r="H737" s="30" t="s">
        <v>661</v>
      </c>
      <c r="I737" s="31">
        <v>2247</v>
      </c>
    </row>
    <row r="738" spans="6:9">
      <c r="F738" s="29" t="s">
        <v>14</v>
      </c>
      <c r="G738" s="30" t="s">
        <v>662</v>
      </c>
      <c r="H738" s="30" t="s">
        <v>679</v>
      </c>
      <c r="I738" s="31">
        <v>2477</v>
      </c>
    </row>
    <row r="739" spans="6:9">
      <c r="F739" s="29" t="s">
        <v>10</v>
      </c>
      <c r="G739" s="30" t="s">
        <v>649</v>
      </c>
      <c r="H739" s="30" t="s">
        <v>648</v>
      </c>
      <c r="I739" s="31">
        <v>5011</v>
      </c>
    </row>
    <row r="740" spans="6:9">
      <c r="F740" s="29" t="s">
        <v>16</v>
      </c>
      <c r="G740" s="30" t="s">
        <v>660</v>
      </c>
      <c r="H740" s="30" t="s">
        <v>661</v>
      </c>
      <c r="I740" s="31">
        <v>1970</v>
      </c>
    </row>
    <row r="741" spans="6:9">
      <c r="F741" s="29" t="s">
        <v>10</v>
      </c>
      <c r="G741" s="30" t="s">
        <v>652</v>
      </c>
      <c r="H741" s="30" t="s">
        <v>654</v>
      </c>
      <c r="I741" s="31">
        <v>7897</v>
      </c>
    </row>
    <row r="742" spans="6:9">
      <c r="F742" s="29" t="s">
        <v>16</v>
      </c>
      <c r="G742" s="30" t="s">
        <v>660</v>
      </c>
      <c r="H742" s="30" t="s">
        <v>665</v>
      </c>
      <c r="I742" s="31">
        <v>7050</v>
      </c>
    </row>
    <row r="743" spans="6:9">
      <c r="F743" s="29" t="s">
        <v>16</v>
      </c>
      <c r="G743" s="30" t="s">
        <v>660</v>
      </c>
      <c r="H743" s="30" t="s">
        <v>668</v>
      </c>
      <c r="I743" s="31">
        <v>4858</v>
      </c>
    </row>
    <row r="744" spans="6:9">
      <c r="F744" s="29" t="s">
        <v>111</v>
      </c>
      <c r="G744" s="30" t="s">
        <v>652</v>
      </c>
      <c r="H744" s="30" t="s">
        <v>653</v>
      </c>
      <c r="I744" s="31">
        <v>257</v>
      </c>
    </row>
    <row r="745" spans="6:9">
      <c r="F745" s="29" t="s">
        <v>16</v>
      </c>
      <c r="G745" s="30" t="s">
        <v>659</v>
      </c>
      <c r="H745" s="30" t="s">
        <v>661</v>
      </c>
      <c r="I745" s="31">
        <v>4724</v>
      </c>
    </row>
    <row r="746" spans="6:9">
      <c r="F746" s="29" t="s">
        <v>16</v>
      </c>
      <c r="G746" s="30" t="s">
        <v>659</v>
      </c>
      <c r="H746" s="30" t="s">
        <v>654</v>
      </c>
      <c r="I746" s="31">
        <v>7212</v>
      </c>
    </row>
    <row r="747" spans="6:9">
      <c r="F747" s="29" t="s">
        <v>16</v>
      </c>
      <c r="G747" s="30" t="s">
        <v>659</v>
      </c>
      <c r="H747" s="30" t="s">
        <v>654</v>
      </c>
      <c r="I747" s="31">
        <v>4981</v>
      </c>
    </row>
    <row r="748" spans="6:9">
      <c r="F748" s="29" t="s">
        <v>14</v>
      </c>
      <c r="G748" s="30" t="s">
        <v>652</v>
      </c>
      <c r="H748" s="30" t="s">
        <v>654</v>
      </c>
      <c r="I748" s="31">
        <v>3776</v>
      </c>
    </row>
    <row r="749" spans="6:9">
      <c r="F749" s="29" t="s">
        <v>111</v>
      </c>
      <c r="G749" s="30" t="s">
        <v>660</v>
      </c>
      <c r="H749" s="30" t="s">
        <v>664</v>
      </c>
      <c r="I749" s="31">
        <v>6407</v>
      </c>
    </row>
    <row r="750" spans="6:9">
      <c r="F750" s="29" t="s">
        <v>111</v>
      </c>
      <c r="G750" s="30" t="s">
        <v>657</v>
      </c>
      <c r="H750" s="30" t="s">
        <v>678</v>
      </c>
      <c r="I750" s="31">
        <v>5335</v>
      </c>
    </row>
    <row r="751" spans="6:9">
      <c r="F751" s="29" t="s">
        <v>16</v>
      </c>
      <c r="G751" s="30" t="s">
        <v>670</v>
      </c>
      <c r="H751" s="30" t="s">
        <v>674</v>
      </c>
      <c r="I751" s="31">
        <v>2547</v>
      </c>
    </row>
    <row r="752" spans="6:9">
      <c r="F752" s="29" t="s">
        <v>10</v>
      </c>
      <c r="G752" s="30" t="s">
        <v>660</v>
      </c>
      <c r="H752" s="30" t="s">
        <v>668</v>
      </c>
      <c r="I752" s="31">
        <v>5147</v>
      </c>
    </row>
    <row r="753" spans="6:9">
      <c r="F753" s="29" t="s">
        <v>111</v>
      </c>
      <c r="G753" s="30" t="s">
        <v>671</v>
      </c>
      <c r="H753" s="30" t="s">
        <v>672</v>
      </c>
      <c r="I753" s="31">
        <v>939</v>
      </c>
    </row>
    <row r="754" spans="6:9">
      <c r="F754" s="29" t="s">
        <v>111</v>
      </c>
      <c r="G754" s="30" t="s">
        <v>649</v>
      </c>
      <c r="H754" s="30" t="s">
        <v>655</v>
      </c>
      <c r="I754" s="31">
        <v>7933</v>
      </c>
    </row>
    <row r="755" spans="6:9">
      <c r="F755" s="29" t="s">
        <v>10</v>
      </c>
      <c r="G755" s="30" t="s">
        <v>659</v>
      </c>
      <c r="H755" s="30" t="s">
        <v>654</v>
      </c>
      <c r="I755" s="31">
        <v>7509</v>
      </c>
    </row>
    <row r="756" spans="6:9">
      <c r="F756" s="29" t="s">
        <v>10</v>
      </c>
      <c r="G756" s="30" t="s">
        <v>659</v>
      </c>
      <c r="H756" s="30" t="s">
        <v>654</v>
      </c>
      <c r="I756" s="31">
        <v>7058</v>
      </c>
    </row>
    <row r="757" spans="6:9">
      <c r="F757" s="29" t="s">
        <v>111</v>
      </c>
      <c r="G757" s="30" t="s">
        <v>662</v>
      </c>
      <c r="H757" s="30" t="s">
        <v>679</v>
      </c>
      <c r="I757" s="31">
        <v>4604</v>
      </c>
    </row>
    <row r="758" spans="6:9">
      <c r="F758" s="29" t="s">
        <v>16</v>
      </c>
      <c r="G758" s="30" t="s">
        <v>662</v>
      </c>
      <c r="H758" s="30" t="s">
        <v>679</v>
      </c>
      <c r="I758" s="31">
        <v>3032</v>
      </c>
    </row>
    <row r="759" spans="6:9">
      <c r="F759" s="29" t="s">
        <v>16</v>
      </c>
      <c r="G759" s="30" t="s">
        <v>660</v>
      </c>
      <c r="H759" s="30" t="s">
        <v>664</v>
      </c>
      <c r="I759" s="31">
        <v>4144</v>
      </c>
    </row>
    <row r="760" spans="6:9">
      <c r="F760" s="29" t="s">
        <v>10</v>
      </c>
      <c r="G760" s="30" t="s">
        <v>649</v>
      </c>
      <c r="H760" s="30" t="s">
        <v>651</v>
      </c>
      <c r="I760" s="31">
        <v>6623</v>
      </c>
    </row>
    <row r="761" spans="6:9">
      <c r="F761" s="29" t="s">
        <v>16</v>
      </c>
      <c r="G761" s="30" t="s">
        <v>652</v>
      </c>
      <c r="H761" s="30" t="s">
        <v>654</v>
      </c>
      <c r="I761" s="31">
        <v>4976</v>
      </c>
    </row>
    <row r="762" spans="6:9">
      <c r="F762" s="29" t="s">
        <v>10</v>
      </c>
      <c r="G762" s="30" t="s">
        <v>652</v>
      </c>
      <c r="H762" s="30" t="s">
        <v>654</v>
      </c>
      <c r="I762" s="31">
        <v>8453</v>
      </c>
    </row>
    <row r="763" spans="6:9">
      <c r="F763" s="29" t="s">
        <v>16</v>
      </c>
      <c r="G763" s="30" t="s">
        <v>662</v>
      </c>
      <c r="H763" s="30" t="s">
        <v>679</v>
      </c>
      <c r="I763" s="31">
        <v>6641</v>
      </c>
    </row>
    <row r="764" spans="6:9">
      <c r="F764" s="29" t="s">
        <v>14</v>
      </c>
      <c r="G764" s="30" t="s">
        <v>660</v>
      </c>
      <c r="H764" s="30" t="s">
        <v>664</v>
      </c>
      <c r="I764" s="31">
        <v>3364</v>
      </c>
    </row>
    <row r="765" spans="6:9">
      <c r="F765" s="29" t="s">
        <v>16</v>
      </c>
      <c r="G765" s="30" t="s">
        <v>652</v>
      </c>
      <c r="H765" s="30" t="s">
        <v>656</v>
      </c>
      <c r="I765" s="31">
        <v>7979</v>
      </c>
    </row>
    <row r="766" spans="6:9">
      <c r="F766" s="29" t="s">
        <v>14</v>
      </c>
      <c r="G766" s="30" t="s">
        <v>660</v>
      </c>
      <c r="H766" s="30" t="s">
        <v>661</v>
      </c>
      <c r="I766" s="31">
        <v>8701</v>
      </c>
    </row>
    <row r="767" spans="6:9">
      <c r="F767" s="29" t="s">
        <v>14</v>
      </c>
      <c r="G767" s="30" t="s">
        <v>666</v>
      </c>
      <c r="H767" s="30" t="s">
        <v>667</v>
      </c>
      <c r="I767" s="31">
        <v>9580</v>
      </c>
    </row>
    <row r="768" spans="6:9">
      <c r="F768" s="29" t="s">
        <v>10</v>
      </c>
      <c r="G768" s="30" t="s">
        <v>660</v>
      </c>
      <c r="H768" s="30" t="s">
        <v>668</v>
      </c>
      <c r="I768" s="31">
        <v>9434</v>
      </c>
    </row>
    <row r="769" spans="6:9">
      <c r="F769" s="29" t="s">
        <v>111</v>
      </c>
      <c r="G769" s="30" t="s">
        <v>671</v>
      </c>
      <c r="H769" s="30" t="s">
        <v>675</v>
      </c>
      <c r="I769" s="31">
        <v>4859</v>
      </c>
    </row>
    <row r="770" spans="6:9">
      <c r="F770" s="29" t="s">
        <v>10</v>
      </c>
      <c r="G770" s="30" t="s">
        <v>666</v>
      </c>
      <c r="H770" s="30" t="s">
        <v>667</v>
      </c>
      <c r="I770" s="31">
        <v>8649</v>
      </c>
    </row>
    <row r="771" spans="6:9">
      <c r="F771" s="29" t="s">
        <v>10</v>
      </c>
      <c r="G771" s="30" t="s">
        <v>662</v>
      </c>
      <c r="H771" s="30" t="s">
        <v>679</v>
      </c>
      <c r="I771" s="31">
        <v>6590</v>
      </c>
    </row>
    <row r="772" spans="6:9">
      <c r="F772" s="29" t="s">
        <v>10</v>
      </c>
      <c r="G772" s="30" t="s">
        <v>649</v>
      </c>
      <c r="H772" s="30" t="s">
        <v>648</v>
      </c>
      <c r="I772" s="31">
        <v>2801</v>
      </c>
    </row>
    <row r="773" spans="6:9">
      <c r="F773" s="29" t="s">
        <v>10</v>
      </c>
      <c r="G773" s="30" t="s">
        <v>671</v>
      </c>
      <c r="H773" s="30" t="s">
        <v>675</v>
      </c>
      <c r="I773" s="31">
        <v>3700</v>
      </c>
    </row>
    <row r="774" spans="6:9">
      <c r="F774" s="29" t="s">
        <v>14</v>
      </c>
      <c r="G774" s="30" t="s">
        <v>657</v>
      </c>
      <c r="H774" s="30" t="s">
        <v>681</v>
      </c>
      <c r="I774" s="31">
        <v>3144</v>
      </c>
    </row>
    <row r="775" spans="6:9">
      <c r="F775" s="29" t="s">
        <v>10</v>
      </c>
      <c r="G775" s="30" t="s">
        <v>671</v>
      </c>
      <c r="H775" s="30" t="s">
        <v>672</v>
      </c>
      <c r="I775" s="31">
        <v>2723</v>
      </c>
    </row>
    <row r="776" spans="6:9">
      <c r="F776" s="29" t="s">
        <v>16</v>
      </c>
      <c r="G776" s="30" t="s">
        <v>666</v>
      </c>
      <c r="H776" s="30" t="s">
        <v>673</v>
      </c>
      <c r="I776" s="31">
        <v>8658</v>
      </c>
    </row>
    <row r="777" spans="6:9">
      <c r="F777" s="29" t="s">
        <v>10</v>
      </c>
      <c r="G777" s="30" t="s">
        <v>649</v>
      </c>
      <c r="H777" s="30" t="s">
        <v>648</v>
      </c>
      <c r="I777" s="31">
        <v>9742</v>
      </c>
    </row>
    <row r="778" spans="6:9">
      <c r="F778" s="29" t="s">
        <v>16</v>
      </c>
      <c r="G778" s="30" t="s">
        <v>657</v>
      </c>
      <c r="H778" s="30" t="s">
        <v>658</v>
      </c>
      <c r="I778" s="31">
        <v>5524</v>
      </c>
    </row>
    <row r="779" spans="6:9">
      <c r="F779" s="29" t="s">
        <v>16</v>
      </c>
      <c r="G779" s="30" t="s">
        <v>662</v>
      </c>
      <c r="H779" s="30" t="s">
        <v>676</v>
      </c>
      <c r="I779" s="31">
        <v>6341</v>
      </c>
    </row>
    <row r="780" spans="6:9">
      <c r="F780" s="29" t="s">
        <v>10</v>
      </c>
      <c r="G780" s="30" t="s">
        <v>659</v>
      </c>
      <c r="H780" s="30" t="s">
        <v>654</v>
      </c>
      <c r="I780" s="31">
        <v>6274</v>
      </c>
    </row>
    <row r="781" spans="6:9">
      <c r="F781" s="29" t="s">
        <v>14</v>
      </c>
      <c r="G781" s="30" t="s">
        <v>666</v>
      </c>
      <c r="H781" s="30" t="s">
        <v>673</v>
      </c>
      <c r="I781" s="31">
        <v>7324</v>
      </c>
    </row>
    <row r="782" spans="6:9">
      <c r="F782" s="29" t="s">
        <v>16</v>
      </c>
      <c r="G782" s="30" t="s">
        <v>660</v>
      </c>
      <c r="H782" s="30" t="s">
        <v>664</v>
      </c>
      <c r="I782" s="31">
        <v>2919</v>
      </c>
    </row>
    <row r="783" spans="6:9">
      <c r="F783" s="29" t="s">
        <v>111</v>
      </c>
      <c r="G783" s="30" t="s">
        <v>670</v>
      </c>
      <c r="H783" s="30" t="s">
        <v>669</v>
      </c>
      <c r="I783" s="31">
        <v>473</v>
      </c>
    </row>
    <row r="784" spans="6:9">
      <c r="F784" s="29" t="s">
        <v>111</v>
      </c>
      <c r="G784" s="30" t="s">
        <v>659</v>
      </c>
      <c r="H784" s="30" t="s">
        <v>661</v>
      </c>
      <c r="I784" s="31">
        <v>9545</v>
      </c>
    </row>
    <row r="785" spans="6:9">
      <c r="F785" s="29" t="s">
        <v>111</v>
      </c>
      <c r="G785" s="30" t="s">
        <v>671</v>
      </c>
      <c r="H785" s="30" t="s">
        <v>675</v>
      </c>
      <c r="I785" s="31">
        <v>9008</v>
      </c>
    </row>
    <row r="786" spans="6:9">
      <c r="F786" s="29" t="s">
        <v>16</v>
      </c>
      <c r="G786" s="30" t="s">
        <v>662</v>
      </c>
      <c r="H786" s="30" t="s">
        <v>663</v>
      </c>
      <c r="I786" s="31">
        <v>9113</v>
      </c>
    </row>
    <row r="787" spans="6:9">
      <c r="F787" s="29" t="s">
        <v>16</v>
      </c>
      <c r="G787" s="30" t="s">
        <v>649</v>
      </c>
      <c r="H787" s="30" t="s">
        <v>648</v>
      </c>
      <c r="I787" s="31">
        <v>6581</v>
      </c>
    </row>
    <row r="788" spans="6:9">
      <c r="F788" s="29" t="s">
        <v>14</v>
      </c>
      <c r="G788" s="30" t="s">
        <v>666</v>
      </c>
      <c r="H788" s="30" t="s">
        <v>667</v>
      </c>
      <c r="I788" s="31">
        <v>1005</v>
      </c>
    </row>
    <row r="789" spans="6:9">
      <c r="F789" s="29" t="s">
        <v>111</v>
      </c>
      <c r="G789" s="30" t="s">
        <v>660</v>
      </c>
      <c r="H789" s="30" t="s">
        <v>664</v>
      </c>
      <c r="I789" s="31">
        <v>9670</v>
      </c>
    </row>
    <row r="790" spans="6:9">
      <c r="F790" s="29" t="s">
        <v>16</v>
      </c>
      <c r="G790" s="30" t="s">
        <v>652</v>
      </c>
      <c r="H790" s="30" t="s">
        <v>653</v>
      </c>
      <c r="I790" s="31">
        <v>2255</v>
      </c>
    </row>
    <row r="791" spans="6:9">
      <c r="F791" s="29" t="s">
        <v>10</v>
      </c>
      <c r="G791" s="30" t="s">
        <v>662</v>
      </c>
      <c r="H791" s="30" t="s">
        <v>679</v>
      </c>
      <c r="I791" s="31">
        <v>2778</v>
      </c>
    </row>
    <row r="792" spans="6:9">
      <c r="F792" s="29" t="s">
        <v>10</v>
      </c>
      <c r="G792" s="30" t="s">
        <v>660</v>
      </c>
      <c r="H792" s="30" t="s">
        <v>668</v>
      </c>
      <c r="I792" s="31">
        <v>7622</v>
      </c>
    </row>
    <row r="793" spans="6:9">
      <c r="F793" s="29" t="s">
        <v>14</v>
      </c>
      <c r="G793" s="30" t="s">
        <v>670</v>
      </c>
      <c r="H793" s="30" t="s">
        <v>664</v>
      </c>
      <c r="I793" s="31">
        <v>8436</v>
      </c>
    </row>
    <row r="794" spans="6:9">
      <c r="F794" s="29" t="s">
        <v>14</v>
      </c>
      <c r="G794" s="30" t="s">
        <v>670</v>
      </c>
      <c r="H794" s="30" t="s">
        <v>669</v>
      </c>
      <c r="I794" s="31">
        <v>1695</v>
      </c>
    </row>
    <row r="795" spans="6:9">
      <c r="F795" s="29" t="s">
        <v>16</v>
      </c>
      <c r="G795" s="30" t="s">
        <v>671</v>
      </c>
      <c r="H795" s="30" t="s">
        <v>675</v>
      </c>
      <c r="I795" s="31">
        <v>8117</v>
      </c>
    </row>
    <row r="796" spans="6:9">
      <c r="F796" s="29" t="s">
        <v>14</v>
      </c>
      <c r="G796" s="30" t="s">
        <v>657</v>
      </c>
      <c r="H796" s="30" t="s">
        <v>680</v>
      </c>
      <c r="I796" s="31">
        <v>9227</v>
      </c>
    </row>
    <row r="797" spans="6:9">
      <c r="F797" s="29" t="s">
        <v>16</v>
      </c>
      <c r="G797" s="30" t="s">
        <v>649</v>
      </c>
      <c r="H797" s="30" t="s">
        <v>651</v>
      </c>
      <c r="I797" s="31">
        <v>2373</v>
      </c>
    </row>
    <row r="798" spans="6:9">
      <c r="F798" s="29" t="s">
        <v>14</v>
      </c>
      <c r="G798" s="30" t="s">
        <v>660</v>
      </c>
      <c r="H798" s="30" t="s">
        <v>668</v>
      </c>
      <c r="I798" s="31">
        <v>9356</v>
      </c>
    </row>
    <row r="799" spans="6:9">
      <c r="F799" s="29" t="s">
        <v>111</v>
      </c>
      <c r="G799" s="30" t="s">
        <v>660</v>
      </c>
      <c r="H799" s="30" t="s">
        <v>661</v>
      </c>
      <c r="I799" s="31">
        <v>6663</v>
      </c>
    </row>
    <row r="800" spans="6:9">
      <c r="F800" s="29" t="s">
        <v>16</v>
      </c>
      <c r="G800" s="30" t="s">
        <v>659</v>
      </c>
      <c r="H800" s="30" t="s">
        <v>654</v>
      </c>
      <c r="I800" s="31">
        <v>8919</v>
      </c>
    </row>
    <row r="801" spans="6:9">
      <c r="F801" s="29" t="s">
        <v>16</v>
      </c>
      <c r="G801" s="30" t="s">
        <v>657</v>
      </c>
      <c r="H801" s="30" t="s">
        <v>658</v>
      </c>
      <c r="I801" s="31">
        <v>9681</v>
      </c>
    </row>
    <row r="802" spans="6:9">
      <c r="F802" s="29" t="s">
        <v>111</v>
      </c>
      <c r="G802" s="30" t="s">
        <v>660</v>
      </c>
      <c r="H802" s="30" t="s">
        <v>664</v>
      </c>
      <c r="I802" s="31">
        <v>9367</v>
      </c>
    </row>
    <row r="803" spans="6:9">
      <c r="F803" s="29" t="s">
        <v>10</v>
      </c>
      <c r="G803" s="30" t="s">
        <v>657</v>
      </c>
      <c r="H803" s="30" t="s">
        <v>680</v>
      </c>
      <c r="I803" s="31">
        <v>820</v>
      </c>
    </row>
    <row r="804" spans="6:9">
      <c r="F804" s="29" t="s">
        <v>14</v>
      </c>
      <c r="G804" s="30" t="s">
        <v>662</v>
      </c>
      <c r="H804" s="30" t="s">
        <v>663</v>
      </c>
      <c r="I804" s="31">
        <v>7857</v>
      </c>
    </row>
    <row r="805" spans="6:9">
      <c r="F805" s="29" t="s">
        <v>111</v>
      </c>
      <c r="G805" s="30" t="s">
        <v>659</v>
      </c>
      <c r="H805" s="30" t="s">
        <v>655</v>
      </c>
      <c r="I805" s="31">
        <v>2162</v>
      </c>
    </row>
    <row r="806" spans="6:9">
      <c r="F806" s="29" t="s">
        <v>111</v>
      </c>
      <c r="G806" s="30" t="s">
        <v>657</v>
      </c>
      <c r="H806" s="30" t="s">
        <v>680</v>
      </c>
      <c r="I806" s="31">
        <v>9680</v>
      </c>
    </row>
    <row r="807" spans="6:9">
      <c r="F807" s="29" t="s">
        <v>10</v>
      </c>
      <c r="G807" s="30" t="s">
        <v>652</v>
      </c>
      <c r="H807" s="30" t="s">
        <v>654</v>
      </c>
      <c r="I807" s="31">
        <v>4780</v>
      </c>
    </row>
    <row r="808" spans="6:9">
      <c r="F808" s="29" t="s">
        <v>16</v>
      </c>
      <c r="G808" s="30" t="s">
        <v>671</v>
      </c>
      <c r="H808" s="30" t="s">
        <v>675</v>
      </c>
      <c r="I808" s="31">
        <v>3641</v>
      </c>
    </row>
    <row r="809" spans="6:9">
      <c r="F809" s="29" t="s">
        <v>111</v>
      </c>
      <c r="G809" s="30" t="s">
        <v>662</v>
      </c>
      <c r="H809" s="30" t="s">
        <v>679</v>
      </c>
      <c r="I809" s="31">
        <v>8718</v>
      </c>
    </row>
    <row r="810" spans="6:9">
      <c r="F810" s="29" t="s">
        <v>111</v>
      </c>
      <c r="G810" s="30" t="s">
        <v>652</v>
      </c>
      <c r="H810" s="30" t="s">
        <v>656</v>
      </c>
      <c r="I810" s="31">
        <v>6880</v>
      </c>
    </row>
    <row r="811" spans="6:9">
      <c r="F811" s="29" t="s">
        <v>10</v>
      </c>
      <c r="G811" s="30" t="s">
        <v>657</v>
      </c>
      <c r="H811" s="30" t="s">
        <v>680</v>
      </c>
      <c r="I811" s="31">
        <v>5943</v>
      </c>
    </row>
    <row r="812" spans="6:9">
      <c r="F812" s="29" t="s">
        <v>16</v>
      </c>
      <c r="G812" s="30" t="s">
        <v>670</v>
      </c>
      <c r="H812" s="30" t="s">
        <v>674</v>
      </c>
      <c r="I812" s="31">
        <v>8407</v>
      </c>
    </row>
    <row r="813" spans="6:9">
      <c r="F813" s="29" t="s">
        <v>10</v>
      </c>
      <c r="G813" s="30" t="s">
        <v>671</v>
      </c>
      <c r="H813" s="30" t="s">
        <v>672</v>
      </c>
      <c r="I813" s="31">
        <v>6951</v>
      </c>
    </row>
    <row r="814" spans="6:9">
      <c r="F814" s="29" t="s">
        <v>14</v>
      </c>
      <c r="G814" s="30" t="s">
        <v>660</v>
      </c>
      <c r="H814" s="30" t="s">
        <v>664</v>
      </c>
      <c r="I814" s="31">
        <v>9077</v>
      </c>
    </row>
    <row r="815" spans="6:9">
      <c r="F815" s="29" t="s">
        <v>14</v>
      </c>
      <c r="G815" s="30" t="s">
        <v>659</v>
      </c>
      <c r="H815" s="30" t="s">
        <v>654</v>
      </c>
      <c r="I815" s="31">
        <v>2617</v>
      </c>
    </row>
    <row r="816" spans="6:9">
      <c r="F816" s="29" t="s">
        <v>10</v>
      </c>
      <c r="G816" s="30" t="s">
        <v>657</v>
      </c>
      <c r="H816" s="30" t="s">
        <v>678</v>
      </c>
      <c r="I816" s="31">
        <v>9091</v>
      </c>
    </row>
    <row r="817" spans="6:9">
      <c r="F817" s="29" t="s">
        <v>16</v>
      </c>
      <c r="G817" s="30" t="s">
        <v>662</v>
      </c>
      <c r="H817" s="30" t="s">
        <v>679</v>
      </c>
      <c r="I817" s="31">
        <v>8763</v>
      </c>
    </row>
    <row r="818" spans="6:9">
      <c r="F818" s="29" t="s">
        <v>16</v>
      </c>
      <c r="G818" s="30" t="s">
        <v>670</v>
      </c>
      <c r="H818" s="30" t="s">
        <v>669</v>
      </c>
      <c r="I818" s="31">
        <v>4922</v>
      </c>
    </row>
    <row r="819" spans="6:9">
      <c r="F819" s="29" t="s">
        <v>16</v>
      </c>
      <c r="G819" s="30" t="s">
        <v>660</v>
      </c>
      <c r="H819" s="30" t="s">
        <v>661</v>
      </c>
      <c r="I819" s="31">
        <v>6389</v>
      </c>
    </row>
    <row r="820" spans="6:9">
      <c r="F820" s="29" t="s">
        <v>16</v>
      </c>
      <c r="G820" s="30" t="s">
        <v>649</v>
      </c>
      <c r="H820" s="30" t="s">
        <v>648</v>
      </c>
      <c r="I820" s="31">
        <v>6845</v>
      </c>
    </row>
    <row r="821" spans="6:9">
      <c r="F821" s="29" t="s">
        <v>111</v>
      </c>
      <c r="G821" s="30" t="s">
        <v>660</v>
      </c>
      <c r="H821" s="30" t="s">
        <v>665</v>
      </c>
      <c r="I821" s="31">
        <v>7570</v>
      </c>
    </row>
    <row r="822" spans="6:9">
      <c r="F822" s="29" t="s">
        <v>16</v>
      </c>
      <c r="G822" s="30" t="s">
        <v>660</v>
      </c>
      <c r="H822" s="30" t="s">
        <v>661</v>
      </c>
      <c r="I822" s="31">
        <v>5474</v>
      </c>
    </row>
    <row r="823" spans="6:9">
      <c r="F823" s="29" t="s">
        <v>14</v>
      </c>
      <c r="G823" s="30" t="s">
        <v>649</v>
      </c>
      <c r="H823" s="30" t="s">
        <v>648</v>
      </c>
      <c r="I823" s="31">
        <v>9294</v>
      </c>
    </row>
    <row r="824" spans="6:9">
      <c r="F824" s="29" t="s">
        <v>10</v>
      </c>
      <c r="G824" s="30" t="s">
        <v>670</v>
      </c>
      <c r="H824" s="30" t="s">
        <v>674</v>
      </c>
      <c r="I824" s="31">
        <v>8529</v>
      </c>
    </row>
    <row r="825" spans="6:9">
      <c r="F825" s="29" t="s">
        <v>10</v>
      </c>
      <c r="G825" s="30" t="s">
        <v>659</v>
      </c>
      <c r="H825" s="30" t="s">
        <v>654</v>
      </c>
      <c r="I825" s="31">
        <v>2863</v>
      </c>
    </row>
    <row r="826" spans="6:9">
      <c r="F826" s="29" t="s">
        <v>10</v>
      </c>
      <c r="G826" s="30" t="s">
        <v>670</v>
      </c>
      <c r="H826" s="30" t="s">
        <v>661</v>
      </c>
      <c r="I826" s="31">
        <v>8035</v>
      </c>
    </row>
    <row r="827" spans="6:9">
      <c r="F827" s="29" t="s">
        <v>14</v>
      </c>
      <c r="G827" s="30" t="s">
        <v>670</v>
      </c>
      <c r="H827" s="30" t="s">
        <v>664</v>
      </c>
      <c r="I827" s="31">
        <v>1766</v>
      </c>
    </row>
    <row r="828" spans="6:9">
      <c r="F828" s="29" t="s">
        <v>111</v>
      </c>
      <c r="G828" s="30" t="s">
        <v>657</v>
      </c>
      <c r="H828" s="30" t="s">
        <v>658</v>
      </c>
      <c r="I828" s="31">
        <v>3862</v>
      </c>
    </row>
    <row r="829" spans="6:9">
      <c r="F829" s="29" t="s">
        <v>10</v>
      </c>
      <c r="G829" s="30" t="s">
        <v>657</v>
      </c>
      <c r="H829" s="30" t="s">
        <v>681</v>
      </c>
      <c r="I829" s="31">
        <v>2027</v>
      </c>
    </row>
    <row r="830" spans="6:9">
      <c r="F830" s="29" t="s">
        <v>10</v>
      </c>
      <c r="G830" s="30" t="s">
        <v>666</v>
      </c>
      <c r="H830" s="30" t="s">
        <v>677</v>
      </c>
      <c r="I830" s="31">
        <v>8932</v>
      </c>
    </row>
    <row r="831" spans="6:9">
      <c r="F831" s="29" t="s">
        <v>111</v>
      </c>
      <c r="G831" s="30" t="s">
        <v>671</v>
      </c>
      <c r="H831" s="30" t="s">
        <v>675</v>
      </c>
      <c r="I831" s="31">
        <v>5920</v>
      </c>
    </row>
    <row r="832" spans="6:9">
      <c r="F832" s="29" t="s">
        <v>10</v>
      </c>
      <c r="G832" s="30" t="s">
        <v>660</v>
      </c>
      <c r="H832" s="30" t="s">
        <v>664</v>
      </c>
      <c r="I832" s="31">
        <v>8989</v>
      </c>
    </row>
    <row r="833" spans="6:9">
      <c r="F833" s="29" t="s">
        <v>111</v>
      </c>
      <c r="G833" s="30" t="s">
        <v>671</v>
      </c>
      <c r="H833" s="30" t="s">
        <v>674</v>
      </c>
      <c r="I833" s="31">
        <v>5711</v>
      </c>
    </row>
    <row r="834" spans="6:9">
      <c r="F834" s="29" t="s">
        <v>16</v>
      </c>
      <c r="G834" s="30" t="s">
        <v>671</v>
      </c>
      <c r="H834" s="30" t="s">
        <v>672</v>
      </c>
      <c r="I834" s="31">
        <v>7505</v>
      </c>
    </row>
    <row r="835" spans="6:9">
      <c r="F835" s="29" t="s">
        <v>10</v>
      </c>
      <c r="G835" s="30" t="s">
        <v>666</v>
      </c>
      <c r="H835" s="30" t="s">
        <v>667</v>
      </c>
      <c r="I835" s="31">
        <v>7112</v>
      </c>
    </row>
    <row r="836" spans="6:9">
      <c r="F836" s="29" t="s">
        <v>16</v>
      </c>
      <c r="G836" s="30" t="s">
        <v>660</v>
      </c>
      <c r="H836" s="30" t="s">
        <v>668</v>
      </c>
      <c r="I836" s="31">
        <v>3949</v>
      </c>
    </row>
    <row r="837" spans="6:9">
      <c r="F837" s="29" t="s">
        <v>14</v>
      </c>
      <c r="G837" s="30" t="s">
        <v>666</v>
      </c>
      <c r="H837" s="30" t="s">
        <v>673</v>
      </c>
      <c r="I837" s="31">
        <v>7620</v>
      </c>
    </row>
    <row r="838" spans="6:9">
      <c r="F838" s="29" t="s">
        <v>10</v>
      </c>
      <c r="G838" s="30" t="s">
        <v>660</v>
      </c>
      <c r="H838" s="30" t="s">
        <v>661</v>
      </c>
      <c r="I838" s="31">
        <v>9823</v>
      </c>
    </row>
    <row r="839" spans="6:9">
      <c r="F839" s="29" t="s">
        <v>111</v>
      </c>
      <c r="G839" s="30" t="s">
        <v>670</v>
      </c>
      <c r="H839" s="30" t="s">
        <v>661</v>
      </c>
      <c r="I839" s="31">
        <v>9439</v>
      </c>
    </row>
    <row r="840" spans="6:9">
      <c r="F840" s="29" t="s">
        <v>14</v>
      </c>
      <c r="G840" s="30" t="s">
        <v>660</v>
      </c>
      <c r="H840" s="30" t="s">
        <v>661</v>
      </c>
      <c r="I840" s="31">
        <v>5710</v>
      </c>
    </row>
    <row r="841" spans="6:9">
      <c r="F841" s="29" t="s">
        <v>10</v>
      </c>
      <c r="G841" s="30" t="s">
        <v>671</v>
      </c>
      <c r="H841" s="30" t="s">
        <v>674</v>
      </c>
      <c r="I841" s="31">
        <v>5053</v>
      </c>
    </row>
    <row r="842" spans="6:9">
      <c r="F842" s="29" t="s">
        <v>14</v>
      </c>
      <c r="G842" s="30" t="s">
        <v>660</v>
      </c>
      <c r="H842" s="30" t="s">
        <v>668</v>
      </c>
      <c r="I842" s="31">
        <v>1560</v>
      </c>
    </row>
    <row r="843" spans="6:9">
      <c r="F843" s="29" t="s">
        <v>14</v>
      </c>
      <c r="G843" s="30" t="s">
        <v>670</v>
      </c>
      <c r="H843" s="30" t="s">
        <v>674</v>
      </c>
      <c r="I843" s="31">
        <v>5893</v>
      </c>
    </row>
    <row r="844" spans="6:9">
      <c r="F844" s="29" t="s">
        <v>16</v>
      </c>
      <c r="G844" s="30" t="s">
        <v>662</v>
      </c>
      <c r="H844" s="30" t="s">
        <v>676</v>
      </c>
      <c r="I844" s="31">
        <v>2243</v>
      </c>
    </row>
    <row r="845" spans="6:9">
      <c r="F845" s="29" t="s">
        <v>111</v>
      </c>
      <c r="G845" s="30" t="s">
        <v>649</v>
      </c>
      <c r="H845" s="30" t="s">
        <v>651</v>
      </c>
      <c r="I845" s="31">
        <v>3922</v>
      </c>
    </row>
    <row r="846" spans="6:9">
      <c r="F846" s="29" t="s">
        <v>16</v>
      </c>
      <c r="G846" s="30" t="s">
        <v>670</v>
      </c>
      <c r="H846" s="30" t="s">
        <v>669</v>
      </c>
      <c r="I846" s="31">
        <v>3958</v>
      </c>
    </row>
    <row r="847" spans="6:9">
      <c r="F847" s="29" t="s">
        <v>10</v>
      </c>
      <c r="G847" s="30" t="s">
        <v>660</v>
      </c>
      <c r="H847" s="30" t="s">
        <v>668</v>
      </c>
      <c r="I847" s="31">
        <v>271</v>
      </c>
    </row>
    <row r="848" spans="6:9">
      <c r="F848" s="29" t="s">
        <v>16</v>
      </c>
      <c r="G848" s="30" t="s">
        <v>649</v>
      </c>
      <c r="H848" s="30" t="s">
        <v>655</v>
      </c>
      <c r="I848" s="31">
        <v>2005</v>
      </c>
    </row>
    <row r="849" spans="6:9">
      <c r="F849" s="29" t="s">
        <v>16</v>
      </c>
      <c r="G849" s="30" t="s">
        <v>660</v>
      </c>
      <c r="H849" s="30" t="s">
        <v>664</v>
      </c>
      <c r="I849" s="31">
        <v>7789</v>
      </c>
    </row>
    <row r="850" spans="6:9">
      <c r="F850" s="29" t="s">
        <v>14</v>
      </c>
      <c r="G850" s="30" t="s">
        <v>662</v>
      </c>
      <c r="H850" s="30" t="s">
        <v>679</v>
      </c>
      <c r="I850" s="31">
        <v>963</v>
      </c>
    </row>
    <row r="851" spans="6:9">
      <c r="F851" s="29" t="s">
        <v>16</v>
      </c>
      <c r="G851" s="30" t="s">
        <v>671</v>
      </c>
      <c r="H851" s="30" t="s">
        <v>672</v>
      </c>
      <c r="I851" s="31">
        <v>6684</v>
      </c>
    </row>
    <row r="852" spans="6:9">
      <c r="F852" s="29" t="s">
        <v>14</v>
      </c>
      <c r="G852" s="30" t="s">
        <v>662</v>
      </c>
      <c r="H852" s="30" t="s">
        <v>663</v>
      </c>
      <c r="I852" s="31">
        <v>3707</v>
      </c>
    </row>
    <row r="853" spans="6:9">
      <c r="F853" s="29" t="s">
        <v>14</v>
      </c>
      <c r="G853" s="30" t="s">
        <v>652</v>
      </c>
      <c r="H853" s="30" t="s">
        <v>656</v>
      </c>
      <c r="I853" s="31">
        <v>4764</v>
      </c>
    </row>
    <row r="854" spans="6:9">
      <c r="F854" s="29" t="s">
        <v>10</v>
      </c>
      <c r="G854" s="30" t="s">
        <v>652</v>
      </c>
      <c r="H854" s="30" t="s">
        <v>654</v>
      </c>
      <c r="I854" s="31">
        <v>325</v>
      </c>
    </row>
    <row r="855" spans="6:9">
      <c r="F855" s="29" t="s">
        <v>16</v>
      </c>
      <c r="G855" s="30" t="s">
        <v>652</v>
      </c>
      <c r="H855" s="30" t="s">
        <v>656</v>
      </c>
      <c r="I855" s="31">
        <v>2686</v>
      </c>
    </row>
    <row r="856" spans="6:9">
      <c r="F856" s="29" t="s">
        <v>16</v>
      </c>
      <c r="G856" s="30" t="s">
        <v>649</v>
      </c>
      <c r="H856" s="30" t="s">
        <v>655</v>
      </c>
      <c r="I856" s="31">
        <v>1948</v>
      </c>
    </row>
    <row r="857" spans="6:9">
      <c r="F857" s="29" t="s">
        <v>111</v>
      </c>
      <c r="G857" s="30" t="s">
        <v>670</v>
      </c>
      <c r="H857" s="30" t="s">
        <v>669</v>
      </c>
      <c r="I857" s="31">
        <v>3604</v>
      </c>
    </row>
    <row r="858" spans="6:9">
      <c r="F858" s="29" t="s">
        <v>16</v>
      </c>
      <c r="G858" s="30" t="s">
        <v>670</v>
      </c>
      <c r="H858" s="30" t="s">
        <v>661</v>
      </c>
      <c r="I858" s="31">
        <v>3506</v>
      </c>
    </row>
    <row r="859" spans="6:9">
      <c r="F859" s="29" t="s">
        <v>16</v>
      </c>
      <c r="G859" s="30" t="s">
        <v>659</v>
      </c>
      <c r="H859" s="30" t="s">
        <v>655</v>
      </c>
      <c r="I859" s="31">
        <v>2758</v>
      </c>
    </row>
    <row r="860" spans="6:9">
      <c r="F860" s="29" t="s">
        <v>111</v>
      </c>
      <c r="G860" s="30" t="s">
        <v>660</v>
      </c>
      <c r="H860" s="30" t="s">
        <v>665</v>
      </c>
      <c r="I860" s="31">
        <v>9948</v>
      </c>
    </row>
    <row r="861" spans="6:9">
      <c r="F861" s="29" t="s">
        <v>16</v>
      </c>
      <c r="G861" s="30" t="s">
        <v>657</v>
      </c>
      <c r="H861" s="30" t="s">
        <v>658</v>
      </c>
      <c r="I861" s="31">
        <v>580</v>
      </c>
    </row>
    <row r="862" spans="6:9">
      <c r="F862" s="29" t="s">
        <v>16</v>
      </c>
      <c r="G862" s="30" t="s">
        <v>660</v>
      </c>
      <c r="H862" s="30" t="s">
        <v>668</v>
      </c>
      <c r="I862" s="31">
        <v>4304</v>
      </c>
    </row>
    <row r="863" spans="6:9">
      <c r="F863" s="29" t="s">
        <v>16</v>
      </c>
      <c r="G863" s="30" t="s">
        <v>657</v>
      </c>
      <c r="H863" s="30" t="s">
        <v>678</v>
      </c>
      <c r="I863" s="31">
        <v>5472</v>
      </c>
    </row>
    <row r="864" spans="6:9">
      <c r="F864" s="29" t="s">
        <v>14</v>
      </c>
      <c r="G864" s="30" t="s">
        <v>670</v>
      </c>
      <c r="H864" s="30" t="s">
        <v>669</v>
      </c>
      <c r="I864" s="31">
        <v>1323</v>
      </c>
    </row>
    <row r="865" spans="6:9">
      <c r="F865" s="29" t="s">
        <v>10</v>
      </c>
      <c r="G865" s="30" t="s">
        <v>660</v>
      </c>
      <c r="H865" s="30" t="s">
        <v>664</v>
      </c>
      <c r="I865" s="31">
        <v>6673</v>
      </c>
    </row>
    <row r="866" spans="6:9">
      <c r="F866" s="29" t="s">
        <v>16</v>
      </c>
      <c r="G866" s="30" t="s">
        <v>670</v>
      </c>
      <c r="H866" s="30" t="s">
        <v>674</v>
      </c>
      <c r="I866" s="31">
        <v>6112</v>
      </c>
    </row>
    <row r="867" spans="6:9">
      <c r="F867" s="29" t="s">
        <v>14</v>
      </c>
      <c r="G867" s="30" t="s">
        <v>670</v>
      </c>
      <c r="H867" s="30" t="s">
        <v>674</v>
      </c>
      <c r="I867" s="31">
        <v>5246</v>
      </c>
    </row>
    <row r="868" spans="6:9">
      <c r="F868" s="29" t="s">
        <v>10</v>
      </c>
      <c r="G868" s="30" t="s">
        <v>660</v>
      </c>
      <c r="H868" s="30" t="s">
        <v>661</v>
      </c>
      <c r="I868" s="31">
        <v>2731</v>
      </c>
    </row>
    <row r="869" spans="6:9">
      <c r="F869" s="29" t="s">
        <v>14</v>
      </c>
      <c r="G869" s="30" t="s">
        <v>657</v>
      </c>
      <c r="H869" s="30" t="s">
        <v>681</v>
      </c>
      <c r="I869" s="31">
        <v>2604</v>
      </c>
    </row>
    <row r="870" spans="6:9">
      <c r="F870" s="29" t="s">
        <v>111</v>
      </c>
      <c r="G870" s="30" t="s">
        <v>659</v>
      </c>
      <c r="H870" s="30" t="s">
        <v>654</v>
      </c>
      <c r="I870" s="31">
        <v>526</v>
      </c>
    </row>
    <row r="871" spans="6:9">
      <c r="F871" s="29" t="s">
        <v>111</v>
      </c>
      <c r="G871" s="30" t="s">
        <v>649</v>
      </c>
      <c r="H871" s="30" t="s">
        <v>655</v>
      </c>
      <c r="I871" s="31">
        <v>5047</v>
      </c>
    </row>
    <row r="872" spans="6:9">
      <c r="F872" s="29" t="s">
        <v>14</v>
      </c>
      <c r="G872" s="30" t="s">
        <v>666</v>
      </c>
      <c r="H872" s="30" t="s">
        <v>673</v>
      </c>
      <c r="I872" s="31">
        <v>9707</v>
      </c>
    </row>
    <row r="873" spans="6:9">
      <c r="F873" s="29" t="s">
        <v>111</v>
      </c>
      <c r="G873" s="30" t="s">
        <v>662</v>
      </c>
      <c r="H873" s="30" t="s">
        <v>679</v>
      </c>
      <c r="I873" s="31">
        <v>3983</v>
      </c>
    </row>
    <row r="874" spans="6:9">
      <c r="F874" s="29" t="s">
        <v>10</v>
      </c>
      <c r="G874" s="30" t="s">
        <v>657</v>
      </c>
      <c r="H874" s="30" t="s">
        <v>680</v>
      </c>
      <c r="I874" s="31">
        <v>7553</v>
      </c>
    </row>
    <row r="875" spans="6:9">
      <c r="F875" s="29" t="s">
        <v>14</v>
      </c>
      <c r="G875" s="30" t="s">
        <v>659</v>
      </c>
      <c r="H875" s="30" t="s">
        <v>661</v>
      </c>
      <c r="I875" s="31">
        <v>9099</v>
      </c>
    </row>
    <row r="876" spans="6:9">
      <c r="F876" s="29" t="s">
        <v>14</v>
      </c>
      <c r="G876" s="30" t="s">
        <v>666</v>
      </c>
      <c r="H876" s="30" t="s">
        <v>673</v>
      </c>
      <c r="I876" s="31">
        <v>5148</v>
      </c>
    </row>
    <row r="877" spans="6:9">
      <c r="F877" s="29" t="s">
        <v>111</v>
      </c>
      <c r="G877" s="30" t="s">
        <v>660</v>
      </c>
      <c r="H877" s="30" t="s">
        <v>668</v>
      </c>
      <c r="I877" s="31">
        <v>2313</v>
      </c>
    </row>
    <row r="878" spans="6:9">
      <c r="F878" s="29" t="s">
        <v>111</v>
      </c>
      <c r="G878" s="30" t="s">
        <v>649</v>
      </c>
      <c r="H878" s="30" t="s">
        <v>651</v>
      </c>
      <c r="I878" s="31">
        <v>1901</v>
      </c>
    </row>
    <row r="879" spans="6:9">
      <c r="F879" s="29" t="s">
        <v>111</v>
      </c>
      <c r="G879" s="30" t="s">
        <v>652</v>
      </c>
      <c r="H879" s="30" t="s">
        <v>656</v>
      </c>
      <c r="I879" s="31">
        <v>2712</v>
      </c>
    </row>
    <row r="880" spans="6:9">
      <c r="F880" s="29" t="s">
        <v>14</v>
      </c>
      <c r="G880" s="30" t="s">
        <v>660</v>
      </c>
      <c r="H880" s="30" t="s">
        <v>661</v>
      </c>
      <c r="I880" s="31">
        <v>8712</v>
      </c>
    </row>
    <row r="881" spans="6:9">
      <c r="F881" s="29" t="s">
        <v>10</v>
      </c>
      <c r="G881" s="30" t="s">
        <v>660</v>
      </c>
      <c r="H881" s="30" t="s">
        <v>668</v>
      </c>
      <c r="I881" s="31">
        <v>8249</v>
      </c>
    </row>
    <row r="882" spans="6:9">
      <c r="F882" s="29" t="s">
        <v>14</v>
      </c>
      <c r="G882" s="30" t="s">
        <v>671</v>
      </c>
      <c r="H882" s="30" t="s">
        <v>674</v>
      </c>
      <c r="I882" s="31">
        <v>5029</v>
      </c>
    </row>
    <row r="883" spans="6:9">
      <c r="F883" s="29" t="s">
        <v>10</v>
      </c>
      <c r="G883" s="30" t="s">
        <v>652</v>
      </c>
      <c r="H883" s="30" t="s">
        <v>654</v>
      </c>
      <c r="I883" s="31">
        <v>5603</v>
      </c>
    </row>
    <row r="884" spans="6:9">
      <c r="F884" s="29" t="s">
        <v>16</v>
      </c>
      <c r="G884" s="30" t="s">
        <v>671</v>
      </c>
      <c r="H884" s="30" t="s">
        <v>675</v>
      </c>
      <c r="I884" s="31">
        <v>3283</v>
      </c>
    </row>
    <row r="885" spans="6:9">
      <c r="F885" s="29" t="s">
        <v>10</v>
      </c>
      <c r="G885" s="30" t="s">
        <v>659</v>
      </c>
      <c r="H885" s="30" t="s">
        <v>655</v>
      </c>
      <c r="I885" s="31">
        <v>5050</v>
      </c>
    </row>
    <row r="886" spans="6:9">
      <c r="F886" s="29" t="s">
        <v>16</v>
      </c>
      <c r="G886" s="30" t="s">
        <v>657</v>
      </c>
      <c r="H886" s="30" t="s">
        <v>678</v>
      </c>
      <c r="I886" s="31">
        <v>3489</v>
      </c>
    </row>
    <row r="887" spans="6:9">
      <c r="F887" s="29" t="s">
        <v>10</v>
      </c>
      <c r="G887" s="30" t="s">
        <v>659</v>
      </c>
      <c r="H887" s="30" t="s">
        <v>661</v>
      </c>
      <c r="I887" s="31">
        <v>3466</v>
      </c>
    </row>
    <row r="888" spans="6:9">
      <c r="F888" s="29" t="s">
        <v>14</v>
      </c>
      <c r="G888" s="30" t="s">
        <v>671</v>
      </c>
      <c r="H888" s="30" t="s">
        <v>675</v>
      </c>
      <c r="I888" s="31">
        <v>4270</v>
      </c>
    </row>
    <row r="889" spans="6:9">
      <c r="F889" s="29" t="s">
        <v>111</v>
      </c>
      <c r="G889" s="30" t="s">
        <v>670</v>
      </c>
      <c r="H889" s="30" t="s">
        <v>664</v>
      </c>
      <c r="I889" s="31">
        <v>2226</v>
      </c>
    </row>
    <row r="890" spans="6:9">
      <c r="F890" s="29" t="s">
        <v>16</v>
      </c>
      <c r="G890" s="30" t="s">
        <v>652</v>
      </c>
      <c r="H890" s="30" t="s">
        <v>653</v>
      </c>
      <c r="I890" s="31">
        <v>678</v>
      </c>
    </row>
    <row r="891" spans="6:9">
      <c r="F891" s="29" t="s">
        <v>111</v>
      </c>
      <c r="G891" s="30" t="s">
        <v>662</v>
      </c>
      <c r="H891" s="30" t="s">
        <v>663</v>
      </c>
      <c r="I891" s="31">
        <v>4289</v>
      </c>
    </row>
    <row r="892" spans="6:9">
      <c r="F892" s="29" t="s">
        <v>10</v>
      </c>
      <c r="G892" s="30" t="s">
        <v>671</v>
      </c>
      <c r="H892" s="30" t="s">
        <v>675</v>
      </c>
      <c r="I892" s="31">
        <v>9115</v>
      </c>
    </row>
    <row r="893" spans="6:9">
      <c r="F893" s="29" t="s">
        <v>14</v>
      </c>
      <c r="G893" s="30" t="s">
        <v>670</v>
      </c>
      <c r="H893" s="30" t="s">
        <v>661</v>
      </c>
      <c r="I893" s="31">
        <v>1547</v>
      </c>
    </row>
    <row r="894" spans="6:9">
      <c r="F894" s="29" t="s">
        <v>16</v>
      </c>
      <c r="G894" s="30" t="s">
        <v>657</v>
      </c>
      <c r="H894" s="30" t="s">
        <v>678</v>
      </c>
      <c r="I894" s="31">
        <v>6856</v>
      </c>
    </row>
    <row r="895" spans="6:9">
      <c r="F895" s="29" t="s">
        <v>111</v>
      </c>
      <c r="G895" s="30" t="s">
        <v>666</v>
      </c>
      <c r="H895" s="30" t="s">
        <v>667</v>
      </c>
      <c r="I895" s="31">
        <v>3474</v>
      </c>
    </row>
    <row r="896" spans="6:9">
      <c r="F896" s="29" t="s">
        <v>14</v>
      </c>
      <c r="G896" s="30" t="s">
        <v>659</v>
      </c>
      <c r="H896" s="30" t="s">
        <v>654</v>
      </c>
      <c r="I896" s="31">
        <v>2869</v>
      </c>
    </row>
    <row r="897" spans="6:9">
      <c r="F897" s="29" t="s">
        <v>10</v>
      </c>
      <c r="G897" s="30" t="s">
        <v>649</v>
      </c>
      <c r="H897" s="30" t="s">
        <v>651</v>
      </c>
      <c r="I897" s="31">
        <v>3399</v>
      </c>
    </row>
    <row r="898" spans="6:9">
      <c r="F898" s="29" t="s">
        <v>16</v>
      </c>
      <c r="G898" s="30" t="s">
        <v>659</v>
      </c>
      <c r="H898" s="30" t="s">
        <v>655</v>
      </c>
      <c r="I898" s="31">
        <v>8749</v>
      </c>
    </row>
    <row r="899" spans="6:9">
      <c r="F899" s="29" t="s">
        <v>10</v>
      </c>
      <c r="G899" s="30" t="s">
        <v>670</v>
      </c>
      <c r="H899" s="30" t="s">
        <v>664</v>
      </c>
      <c r="I899" s="31">
        <v>2393</v>
      </c>
    </row>
    <row r="900" spans="6:9">
      <c r="F900" s="29" t="s">
        <v>16</v>
      </c>
      <c r="G900" s="30" t="s">
        <v>662</v>
      </c>
      <c r="H900" s="30" t="s">
        <v>676</v>
      </c>
      <c r="I900" s="31">
        <v>7429</v>
      </c>
    </row>
    <row r="901" spans="6:9">
      <c r="F901" s="29" t="s">
        <v>111</v>
      </c>
      <c r="G901" s="30" t="s">
        <v>660</v>
      </c>
      <c r="H901" s="30" t="s">
        <v>665</v>
      </c>
      <c r="I901" s="31">
        <v>9772</v>
      </c>
    </row>
    <row r="902" spans="6:9">
      <c r="F902" s="29" t="s">
        <v>10</v>
      </c>
      <c r="G902" s="30" t="s">
        <v>657</v>
      </c>
      <c r="H902" s="30" t="s">
        <v>680</v>
      </c>
      <c r="I902" s="31">
        <v>8472</v>
      </c>
    </row>
    <row r="903" spans="6:9">
      <c r="F903" s="29" t="s">
        <v>10</v>
      </c>
      <c r="G903" s="30" t="s">
        <v>670</v>
      </c>
      <c r="H903" s="30" t="s">
        <v>669</v>
      </c>
      <c r="I903" s="31">
        <v>7591</v>
      </c>
    </row>
    <row r="904" spans="6:9">
      <c r="F904" s="29" t="s">
        <v>16</v>
      </c>
      <c r="G904" s="30" t="s">
        <v>659</v>
      </c>
      <c r="H904" s="30" t="s">
        <v>655</v>
      </c>
      <c r="I904" s="31">
        <v>4918</v>
      </c>
    </row>
    <row r="905" spans="6:9">
      <c r="F905" s="29" t="s">
        <v>14</v>
      </c>
      <c r="G905" s="30" t="s">
        <v>660</v>
      </c>
      <c r="H905" s="30" t="s">
        <v>661</v>
      </c>
      <c r="I905" s="31">
        <v>6427</v>
      </c>
    </row>
    <row r="906" spans="6:9">
      <c r="F906" s="29" t="s">
        <v>10</v>
      </c>
      <c r="G906" s="30" t="s">
        <v>649</v>
      </c>
      <c r="H906" s="30" t="s">
        <v>648</v>
      </c>
      <c r="I906" s="31">
        <v>5583</v>
      </c>
    </row>
    <row r="907" spans="6:9">
      <c r="F907" s="29" t="s">
        <v>10</v>
      </c>
      <c r="G907" s="30" t="s">
        <v>659</v>
      </c>
      <c r="H907" s="30" t="s">
        <v>661</v>
      </c>
      <c r="I907" s="31">
        <v>2044</v>
      </c>
    </row>
    <row r="908" spans="6:9">
      <c r="F908" s="29" t="s">
        <v>111</v>
      </c>
      <c r="G908" s="30" t="s">
        <v>670</v>
      </c>
      <c r="H908" s="30" t="s">
        <v>669</v>
      </c>
      <c r="I908" s="31">
        <v>2144</v>
      </c>
    </row>
    <row r="909" spans="6:9">
      <c r="F909" s="29" t="s">
        <v>111</v>
      </c>
      <c r="G909" s="30" t="s">
        <v>649</v>
      </c>
      <c r="H909" s="30" t="s">
        <v>651</v>
      </c>
      <c r="I909" s="31">
        <v>2663</v>
      </c>
    </row>
    <row r="910" spans="6:9">
      <c r="F910" s="29" t="s">
        <v>10</v>
      </c>
      <c r="G910" s="30" t="s">
        <v>660</v>
      </c>
      <c r="H910" s="30" t="s">
        <v>665</v>
      </c>
      <c r="I910" s="31">
        <v>8153</v>
      </c>
    </row>
    <row r="911" spans="6:9">
      <c r="F911" s="29" t="s">
        <v>111</v>
      </c>
      <c r="G911" s="30" t="s">
        <v>649</v>
      </c>
      <c r="H911" s="30" t="s">
        <v>648</v>
      </c>
      <c r="I911" s="31">
        <v>5737</v>
      </c>
    </row>
    <row r="912" spans="6:9">
      <c r="F912" s="29" t="s">
        <v>14</v>
      </c>
      <c r="G912" s="30" t="s">
        <v>657</v>
      </c>
      <c r="H912" s="30" t="s">
        <v>658</v>
      </c>
      <c r="I912" s="31">
        <v>5413</v>
      </c>
    </row>
    <row r="913" spans="6:9">
      <c r="F913" s="29" t="s">
        <v>14</v>
      </c>
      <c r="G913" s="30" t="s">
        <v>657</v>
      </c>
      <c r="H913" s="30" t="s">
        <v>681</v>
      </c>
      <c r="I913" s="31">
        <v>5772</v>
      </c>
    </row>
    <row r="914" spans="6:9">
      <c r="F914" s="29" t="s">
        <v>111</v>
      </c>
      <c r="G914" s="30" t="s">
        <v>666</v>
      </c>
      <c r="H914" s="30" t="s">
        <v>673</v>
      </c>
      <c r="I914" s="31">
        <v>7986</v>
      </c>
    </row>
    <row r="915" spans="6:9">
      <c r="F915" s="29" t="s">
        <v>10</v>
      </c>
      <c r="G915" s="30" t="s">
        <v>652</v>
      </c>
      <c r="H915" s="30" t="s">
        <v>654</v>
      </c>
      <c r="I915" s="31">
        <v>9762</v>
      </c>
    </row>
    <row r="916" spans="6:9">
      <c r="F916" s="29" t="s">
        <v>10</v>
      </c>
      <c r="G916" s="30" t="s">
        <v>662</v>
      </c>
      <c r="H916" s="30" t="s">
        <v>676</v>
      </c>
      <c r="I916" s="31">
        <v>6388</v>
      </c>
    </row>
    <row r="917" spans="6:9">
      <c r="F917" s="29" t="s">
        <v>16</v>
      </c>
      <c r="G917" s="30" t="s">
        <v>671</v>
      </c>
      <c r="H917" s="30" t="s">
        <v>675</v>
      </c>
      <c r="I917" s="31">
        <v>4045</v>
      </c>
    </row>
    <row r="918" spans="6:9">
      <c r="F918" s="29" t="s">
        <v>16</v>
      </c>
      <c r="G918" s="30" t="s">
        <v>671</v>
      </c>
      <c r="H918" s="30" t="s">
        <v>672</v>
      </c>
      <c r="I918" s="31">
        <v>4042</v>
      </c>
    </row>
    <row r="919" spans="6:9">
      <c r="F919" s="29" t="s">
        <v>10</v>
      </c>
      <c r="G919" s="30" t="s">
        <v>657</v>
      </c>
      <c r="H919" s="30" t="s">
        <v>658</v>
      </c>
      <c r="I919" s="31">
        <v>8372</v>
      </c>
    </row>
    <row r="920" spans="6:9">
      <c r="F920" s="29" t="s">
        <v>10</v>
      </c>
      <c r="G920" s="30" t="s">
        <v>652</v>
      </c>
      <c r="H920" s="30" t="s">
        <v>654</v>
      </c>
      <c r="I920" s="31">
        <v>3554</v>
      </c>
    </row>
    <row r="921" spans="6:9">
      <c r="F921" s="29" t="s">
        <v>16</v>
      </c>
      <c r="G921" s="30" t="s">
        <v>662</v>
      </c>
      <c r="H921" s="30" t="s">
        <v>679</v>
      </c>
      <c r="I921" s="31">
        <v>2786</v>
      </c>
    </row>
    <row r="922" spans="6:9">
      <c r="F922" s="29" t="s">
        <v>16</v>
      </c>
      <c r="G922" s="30" t="s">
        <v>649</v>
      </c>
      <c r="H922" s="30" t="s">
        <v>651</v>
      </c>
      <c r="I922" s="31">
        <v>9090</v>
      </c>
    </row>
    <row r="923" spans="6:9">
      <c r="F923" s="29" t="s">
        <v>14</v>
      </c>
      <c r="G923" s="30" t="s">
        <v>657</v>
      </c>
      <c r="H923" s="30" t="s">
        <v>678</v>
      </c>
      <c r="I923" s="31">
        <v>9658</v>
      </c>
    </row>
    <row r="924" spans="6:9">
      <c r="F924" s="29" t="s">
        <v>14</v>
      </c>
      <c r="G924" s="30" t="s">
        <v>657</v>
      </c>
      <c r="H924" s="30" t="s">
        <v>681</v>
      </c>
      <c r="I924" s="31">
        <v>6121</v>
      </c>
    </row>
    <row r="925" spans="6:9">
      <c r="F925" s="29" t="s">
        <v>10</v>
      </c>
      <c r="G925" s="30" t="s">
        <v>657</v>
      </c>
      <c r="H925" s="30" t="s">
        <v>681</v>
      </c>
      <c r="I925" s="31">
        <v>3008</v>
      </c>
    </row>
    <row r="926" spans="6:9">
      <c r="F926" s="29" t="s">
        <v>14</v>
      </c>
      <c r="G926" s="30" t="s">
        <v>671</v>
      </c>
      <c r="H926" s="30" t="s">
        <v>674</v>
      </c>
      <c r="I926" s="31">
        <v>4919</v>
      </c>
    </row>
    <row r="927" spans="6:9">
      <c r="F927" s="29" t="s">
        <v>14</v>
      </c>
      <c r="G927" s="30" t="s">
        <v>649</v>
      </c>
      <c r="H927" s="30" t="s">
        <v>648</v>
      </c>
      <c r="I927" s="31">
        <v>9699</v>
      </c>
    </row>
    <row r="928" spans="6:9">
      <c r="F928" s="29" t="s">
        <v>16</v>
      </c>
      <c r="G928" s="30" t="s">
        <v>671</v>
      </c>
      <c r="H928" s="30" t="s">
        <v>675</v>
      </c>
      <c r="I928" s="31">
        <v>5773</v>
      </c>
    </row>
    <row r="929" spans="6:9">
      <c r="F929" s="29" t="s">
        <v>111</v>
      </c>
      <c r="G929" s="30" t="s">
        <v>649</v>
      </c>
      <c r="H929" s="30" t="s">
        <v>651</v>
      </c>
      <c r="I929" s="31">
        <v>5502</v>
      </c>
    </row>
    <row r="930" spans="6:9">
      <c r="F930" s="29" t="s">
        <v>111</v>
      </c>
      <c r="G930" s="30" t="s">
        <v>666</v>
      </c>
      <c r="H930" s="30" t="s">
        <v>667</v>
      </c>
      <c r="I930" s="31">
        <v>2532</v>
      </c>
    </row>
    <row r="931" spans="6:9">
      <c r="F931" s="29" t="s">
        <v>14</v>
      </c>
      <c r="G931" s="30" t="s">
        <v>660</v>
      </c>
      <c r="H931" s="30" t="s">
        <v>664</v>
      </c>
      <c r="I931" s="31">
        <v>2876</v>
      </c>
    </row>
    <row r="932" spans="6:9">
      <c r="F932" s="29" t="s">
        <v>14</v>
      </c>
      <c r="G932" s="30" t="s">
        <v>657</v>
      </c>
      <c r="H932" s="30" t="s">
        <v>681</v>
      </c>
      <c r="I932" s="31">
        <v>4425</v>
      </c>
    </row>
    <row r="933" spans="6:9">
      <c r="F933" s="29" t="s">
        <v>14</v>
      </c>
      <c r="G933" s="30" t="s">
        <v>660</v>
      </c>
      <c r="H933" s="30" t="s">
        <v>665</v>
      </c>
      <c r="I933" s="31">
        <v>5488</v>
      </c>
    </row>
    <row r="934" spans="6:9">
      <c r="F934" s="29" t="s">
        <v>14</v>
      </c>
      <c r="G934" s="30" t="s">
        <v>659</v>
      </c>
      <c r="H934" s="30" t="s">
        <v>654</v>
      </c>
      <c r="I934" s="31">
        <v>5412</v>
      </c>
    </row>
    <row r="935" spans="6:9">
      <c r="F935" s="29" t="s">
        <v>10</v>
      </c>
      <c r="G935" s="30" t="s">
        <v>666</v>
      </c>
      <c r="H935" s="30" t="s">
        <v>667</v>
      </c>
      <c r="I935" s="31">
        <v>7109</v>
      </c>
    </row>
    <row r="936" spans="6:9">
      <c r="F936" s="29" t="s">
        <v>10</v>
      </c>
      <c r="G936" s="30" t="s">
        <v>662</v>
      </c>
      <c r="H936" s="30" t="s">
        <v>663</v>
      </c>
      <c r="I936" s="31">
        <v>6883</v>
      </c>
    </row>
    <row r="937" spans="6:9">
      <c r="F937" s="29" t="s">
        <v>14</v>
      </c>
      <c r="G937" s="30" t="s">
        <v>657</v>
      </c>
      <c r="H937" s="30" t="s">
        <v>680</v>
      </c>
      <c r="I937" s="31">
        <v>8345</v>
      </c>
    </row>
    <row r="938" spans="6:9">
      <c r="F938" s="29" t="s">
        <v>111</v>
      </c>
      <c r="G938" s="30" t="s">
        <v>666</v>
      </c>
      <c r="H938" s="30" t="s">
        <v>673</v>
      </c>
      <c r="I938" s="31">
        <v>5015</v>
      </c>
    </row>
    <row r="939" spans="6:9">
      <c r="F939" s="29" t="s">
        <v>14</v>
      </c>
      <c r="G939" s="30" t="s">
        <v>649</v>
      </c>
      <c r="H939" s="30" t="s">
        <v>651</v>
      </c>
      <c r="I939" s="31">
        <v>2743</v>
      </c>
    </row>
    <row r="940" spans="6:9">
      <c r="F940" s="29" t="s">
        <v>16</v>
      </c>
      <c r="G940" s="30" t="s">
        <v>670</v>
      </c>
      <c r="H940" s="30" t="s">
        <v>661</v>
      </c>
      <c r="I940" s="31">
        <v>1537</v>
      </c>
    </row>
    <row r="941" spans="6:9">
      <c r="F941" s="29" t="s">
        <v>14</v>
      </c>
      <c r="G941" s="30" t="s">
        <v>657</v>
      </c>
      <c r="H941" s="30" t="s">
        <v>681</v>
      </c>
      <c r="I941" s="31">
        <v>7156</v>
      </c>
    </row>
    <row r="942" spans="6:9">
      <c r="F942" s="29" t="s">
        <v>10</v>
      </c>
      <c r="G942" s="30" t="s">
        <v>659</v>
      </c>
      <c r="H942" s="30" t="s">
        <v>654</v>
      </c>
      <c r="I942" s="31">
        <v>7267</v>
      </c>
    </row>
    <row r="943" spans="6:9">
      <c r="F943" s="29" t="s">
        <v>16</v>
      </c>
      <c r="G943" s="30" t="s">
        <v>652</v>
      </c>
      <c r="H943" s="30" t="s">
        <v>656</v>
      </c>
      <c r="I943" s="31">
        <v>7955</v>
      </c>
    </row>
    <row r="944" spans="6:9">
      <c r="F944" s="29" t="s">
        <v>14</v>
      </c>
      <c r="G944" s="30" t="s">
        <v>670</v>
      </c>
      <c r="H944" s="30" t="s">
        <v>674</v>
      </c>
      <c r="I944" s="31">
        <v>2806</v>
      </c>
    </row>
    <row r="945" spans="6:9">
      <c r="F945" s="29" t="s">
        <v>10</v>
      </c>
      <c r="G945" s="30" t="s">
        <v>649</v>
      </c>
      <c r="H945" s="30" t="s">
        <v>651</v>
      </c>
      <c r="I945" s="31">
        <v>5241</v>
      </c>
    </row>
    <row r="946" spans="6:9">
      <c r="F946" s="29" t="s">
        <v>10</v>
      </c>
      <c r="G946" s="30" t="s">
        <v>657</v>
      </c>
      <c r="H946" s="30" t="s">
        <v>681</v>
      </c>
      <c r="I946" s="31">
        <v>7653</v>
      </c>
    </row>
    <row r="947" spans="6:9">
      <c r="F947" s="29" t="s">
        <v>10</v>
      </c>
      <c r="G947" s="30" t="s">
        <v>657</v>
      </c>
      <c r="H947" s="30" t="s">
        <v>678</v>
      </c>
      <c r="I947" s="31">
        <v>7624</v>
      </c>
    </row>
    <row r="948" spans="6:9">
      <c r="F948" s="29" t="s">
        <v>14</v>
      </c>
      <c r="G948" s="30" t="s">
        <v>659</v>
      </c>
      <c r="H948" s="30" t="s">
        <v>661</v>
      </c>
      <c r="I948" s="31">
        <v>3466</v>
      </c>
    </row>
    <row r="949" spans="6:9">
      <c r="F949" s="29" t="s">
        <v>14</v>
      </c>
      <c r="G949" s="30" t="s">
        <v>649</v>
      </c>
      <c r="H949" s="30" t="s">
        <v>651</v>
      </c>
      <c r="I949" s="31">
        <v>2247</v>
      </c>
    </row>
    <row r="950" spans="6:9">
      <c r="F950" s="29" t="s">
        <v>111</v>
      </c>
      <c r="G950" s="30" t="s">
        <v>666</v>
      </c>
      <c r="H950" s="30" t="s">
        <v>673</v>
      </c>
      <c r="I950" s="31">
        <v>4067</v>
      </c>
    </row>
    <row r="951" spans="6:9">
      <c r="F951" s="29" t="s">
        <v>10</v>
      </c>
      <c r="G951" s="30" t="s">
        <v>657</v>
      </c>
      <c r="H951" s="30" t="s">
        <v>681</v>
      </c>
      <c r="I951" s="31">
        <v>6092</v>
      </c>
    </row>
    <row r="952" spans="6:9">
      <c r="F952" s="29" t="s">
        <v>14</v>
      </c>
      <c r="G952" s="30" t="s">
        <v>662</v>
      </c>
      <c r="H952" s="30" t="s">
        <v>663</v>
      </c>
      <c r="I952" s="31">
        <v>3283</v>
      </c>
    </row>
    <row r="953" spans="6:9">
      <c r="F953" s="29" t="s">
        <v>111</v>
      </c>
      <c r="G953" s="30" t="s">
        <v>659</v>
      </c>
      <c r="H953" s="30" t="s">
        <v>661</v>
      </c>
      <c r="I953" s="31">
        <v>3627</v>
      </c>
    </row>
    <row r="954" spans="6:9">
      <c r="F954" s="29" t="s">
        <v>14</v>
      </c>
      <c r="G954" s="30" t="s">
        <v>670</v>
      </c>
      <c r="H954" s="30" t="s">
        <v>669</v>
      </c>
      <c r="I954" s="31">
        <v>1592</v>
      </c>
    </row>
    <row r="955" spans="6:9">
      <c r="F955" s="29" t="s">
        <v>10</v>
      </c>
      <c r="G955" s="30" t="s">
        <v>659</v>
      </c>
      <c r="H955" s="30" t="s">
        <v>661</v>
      </c>
      <c r="I955" s="31">
        <v>4226</v>
      </c>
    </row>
    <row r="956" spans="6:9">
      <c r="F956" s="29" t="s">
        <v>111</v>
      </c>
      <c r="G956" s="30" t="s">
        <v>671</v>
      </c>
      <c r="H956" s="30" t="s">
        <v>675</v>
      </c>
      <c r="I956" s="31">
        <v>8211</v>
      </c>
    </row>
    <row r="957" spans="6:9">
      <c r="F957" s="29" t="s">
        <v>14</v>
      </c>
      <c r="G957" s="30" t="s">
        <v>670</v>
      </c>
      <c r="H957" s="30" t="s">
        <v>661</v>
      </c>
      <c r="I957" s="31">
        <v>612</v>
      </c>
    </row>
    <row r="958" spans="6:9">
      <c r="F958" s="29" t="s">
        <v>10</v>
      </c>
      <c r="G958" s="30" t="s">
        <v>649</v>
      </c>
      <c r="H958" s="30" t="s">
        <v>648</v>
      </c>
      <c r="I958" s="31">
        <v>3914</v>
      </c>
    </row>
    <row r="959" spans="6:9">
      <c r="F959" s="29" t="s">
        <v>16</v>
      </c>
      <c r="G959" s="30" t="s">
        <v>657</v>
      </c>
      <c r="H959" s="30" t="s">
        <v>678</v>
      </c>
      <c r="I959" s="31">
        <v>6324</v>
      </c>
    </row>
    <row r="960" spans="6:9">
      <c r="F960" s="29" t="s">
        <v>10</v>
      </c>
      <c r="G960" s="30" t="s">
        <v>649</v>
      </c>
      <c r="H960" s="30" t="s">
        <v>655</v>
      </c>
      <c r="I960" s="31">
        <v>1236</v>
      </c>
    </row>
    <row r="961" spans="6:9">
      <c r="F961" s="29" t="s">
        <v>10</v>
      </c>
      <c r="G961" s="30" t="s">
        <v>670</v>
      </c>
      <c r="H961" s="30" t="s">
        <v>674</v>
      </c>
      <c r="I961" s="31">
        <v>3087</v>
      </c>
    </row>
    <row r="962" spans="6:9">
      <c r="F962" s="29" t="s">
        <v>16</v>
      </c>
      <c r="G962" s="30" t="s">
        <v>660</v>
      </c>
      <c r="H962" s="30" t="s">
        <v>661</v>
      </c>
      <c r="I962" s="31">
        <v>6421</v>
      </c>
    </row>
    <row r="963" spans="6:9">
      <c r="F963" s="29" t="s">
        <v>16</v>
      </c>
      <c r="G963" s="30" t="s">
        <v>652</v>
      </c>
      <c r="H963" s="30" t="s">
        <v>654</v>
      </c>
      <c r="I963" s="31">
        <v>556</v>
      </c>
    </row>
    <row r="964" spans="6:9">
      <c r="F964" s="29" t="s">
        <v>10</v>
      </c>
      <c r="G964" s="30" t="s">
        <v>666</v>
      </c>
      <c r="H964" s="30" t="s">
        <v>673</v>
      </c>
      <c r="I964" s="31">
        <v>8382</v>
      </c>
    </row>
    <row r="965" spans="6:9">
      <c r="F965" s="29" t="s">
        <v>111</v>
      </c>
      <c r="G965" s="30" t="s">
        <v>662</v>
      </c>
      <c r="H965" s="30" t="s">
        <v>679</v>
      </c>
      <c r="I965" s="31">
        <v>2773</v>
      </c>
    </row>
    <row r="966" spans="6:9">
      <c r="F966" s="29" t="s">
        <v>16</v>
      </c>
      <c r="G966" s="30" t="s">
        <v>670</v>
      </c>
      <c r="H966" s="30" t="s">
        <v>664</v>
      </c>
      <c r="I966" s="31">
        <v>1705</v>
      </c>
    </row>
    <row r="967" spans="6:9">
      <c r="F967" s="29" t="s">
        <v>10</v>
      </c>
      <c r="G967" s="30" t="s">
        <v>652</v>
      </c>
      <c r="H967" s="30" t="s">
        <v>654</v>
      </c>
      <c r="I967" s="31">
        <v>5399</v>
      </c>
    </row>
    <row r="968" spans="6:9">
      <c r="F968" s="29" t="s">
        <v>14</v>
      </c>
      <c r="G968" s="30" t="s">
        <v>652</v>
      </c>
      <c r="H968" s="30" t="s">
        <v>656</v>
      </c>
      <c r="I968" s="31">
        <v>5379</v>
      </c>
    </row>
    <row r="969" spans="6:9">
      <c r="F969" s="29" t="s">
        <v>10</v>
      </c>
      <c r="G969" s="30" t="s">
        <v>671</v>
      </c>
      <c r="H969" s="30" t="s">
        <v>675</v>
      </c>
      <c r="I969" s="31">
        <v>2995</v>
      </c>
    </row>
    <row r="970" spans="6:9">
      <c r="F970" s="29" t="s">
        <v>111</v>
      </c>
      <c r="G970" s="30" t="s">
        <v>662</v>
      </c>
      <c r="H970" s="30" t="s">
        <v>663</v>
      </c>
      <c r="I970" s="31">
        <v>9366</v>
      </c>
    </row>
    <row r="971" spans="6:9">
      <c r="F971" s="29" t="s">
        <v>16</v>
      </c>
      <c r="G971" s="30" t="s">
        <v>652</v>
      </c>
      <c r="H971" s="30" t="s">
        <v>653</v>
      </c>
      <c r="I971" s="31">
        <v>840</v>
      </c>
    </row>
    <row r="972" spans="6:9">
      <c r="F972" s="29" t="s">
        <v>111</v>
      </c>
      <c r="G972" s="30" t="s">
        <v>659</v>
      </c>
      <c r="H972" s="30" t="s">
        <v>655</v>
      </c>
      <c r="I972" s="31">
        <v>2617</v>
      </c>
    </row>
    <row r="973" spans="6:9">
      <c r="F973" s="29" t="s">
        <v>10</v>
      </c>
      <c r="G973" s="30" t="s">
        <v>649</v>
      </c>
      <c r="H973" s="30" t="s">
        <v>651</v>
      </c>
      <c r="I973" s="31">
        <v>9716</v>
      </c>
    </row>
    <row r="974" spans="6:9">
      <c r="F974" s="29" t="s">
        <v>14</v>
      </c>
      <c r="G974" s="30" t="s">
        <v>670</v>
      </c>
      <c r="H974" s="30" t="s">
        <v>661</v>
      </c>
      <c r="I974" s="31">
        <v>7556</v>
      </c>
    </row>
    <row r="975" spans="6:9">
      <c r="F975" s="29" t="s">
        <v>14</v>
      </c>
      <c r="G975" s="30" t="s">
        <v>657</v>
      </c>
      <c r="H975" s="30" t="s">
        <v>680</v>
      </c>
      <c r="I975" s="31">
        <v>7816</v>
      </c>
    </row>
    <row r="976" spans="6:9">
      <c r="F976" s="29" t="s">
        <v>111</v>
      </c>
      <c r="G976" s="30" t="s">
        <v>670</v>
      </c>
      <c r="H976" s="30" t="s">
        <v>674</v>
      </c>
      <c r="I976" s="31">
        <v>4449</v>
      </c>
    </row>
    <row r="977" spans="6:9">
      <c r="F977" s="29" t="s">
        <v>16</v>
      </c>
      <c r="G977" s="30" t="s">
        <v>670</v>
      </c>
      <c r="H977" s="30" t="s">
        <v>669</v>
      </c>
      <c r="I977" s="31">
        <v>6704</v>
      </c>
    </row>
    <row r="978" spans="6:9">
      <c r="F978" s="29" t="s">
        <v>10</v>
      </c>
      <c r="G978" s="30" t="s">
        <v>660</v>
      </c>
      <c r="H978" s="30" t="s">
        <v>665</v>
      </c>
      <c r="I978" s="31">
        <v>504</v>
      </c>
    </row>
    <row r="979" spans="6:9">
      <c r="F979" s="29" t="s">
        <v>14</v>
      </c>
      <c r="G979" s="30" t="s">
        <v>660</v>
      </c>
      <c r="H979" s="30" t="s">
        <v>665</v>
      </c>
      <c r="I979" s="31">
        <v>6865</v>
      </c>
    </row>
    <row r="980" spans="6:9">
      <c r="F980" s="29" t="s">
        <v>14</v>
      </c>
      <c r="G980" s="30" t="s">
        <v>670</v>
      </c>
      <c r="H980" s="30" t="s">
        <v>674</v>
      </c>
      <c r="I980" s="31">
        <v>2627</v>
      </c>
    </row>
    <row r="981" spans="6:9">
      <c r="F981" s="29" t="s">
        <v>10</v>
      </c>
      <c r="G981" s="30" t="s">
        <v>659</v>
      </c>
      <c r="H981" s="30" t="s">
        <v>654</v>
      </c>
      <c r="I981" s="31">
        <v>3351</v>
      </c>
    </row>
    <row r="982" spans="6:9">
      <c r="F982" s="29" t="s">
        <v>10</v>
      </c>
      <c r="G982" s="30" t="s">
        <v>666</v>
      </c>
      <c r="H982" s="30" t="s">
        <v>667</v>
      </c>
      <c r="I982" s="31">
        <v>2811</v>
      </c>
    </row>
    <row r="983" spans="6:9">
      <c r="F983" s="29" t="s">
        <v>16</v>
      </c>
      <c r="G983" s="30" t="s">
        <v>671</v>
      </c>
      <c r="H983" s="30" t="s">
        <v>675</v>
      </c>
      <c r="I983" s="31">
        <v>2669</v>
      </c>
    </row>
    <row r="984" spans="6:9">
      <c r="F984" s="29" t="s">
        <v>10</v>
      </c>
      <c r="G984" s="30" t="s">
        <v>652</v>
      </c>
      <c r="H984" s="30" t="s">
        <v>656</v>
      </c>
      <c r="I984" s="31">
        <v>8219</v>
      </c>
    </row>
    <row r="985" spans="6:9">
      <c r="F985" s="29" t="s">
        <v>10</v>
      </c>
      <c r="G985" s="30" t="s">
        <v>671</v>
      </c>
      <c r="H985" s="30" t="s">
        <v>672</v>
      </c>
      <c r="I985" s="31">
        <v>775</v>
      </c>
    </row>
    <row r="986" spans="6:9">
      <c r="F986" s="29" t="s">
        <v>10</v>
      </c>
      <c r="G986" s="30" t="s">
        <v>652</v>
      </c>
      <c r="H986" s="30" t="s">
        <v>653</v>
      </c>
      <c r="I986" s="31">
        <v>1940</v>
      </c>
    </row>
    <row r="987" spans="6:9">
      <c r="F987" s="29" t="s">
        <v>10</v>
      </c>
      <c r="G987" s="30" t="s">
        <v>659</v>
      </c>
      <c r="H987" s="30" t="s">
        <v>655</v>
      </c>
      <c r="I987" s="31">
        <v>3283</v>
      </c>
    </row>
    <row r="988" spans="6:9">
      <c r="F988" s="29" t="s">
        <v>10</v>
      </c>
      <c r="G988" s="30" t="s">
        <v>652</v>
      </c>
      <c r="H988" s="30" t="s">
        <v>656</v>
      </c>
      <c r="I988" s="31">
        <v>4904</v>
      </c>
    </row>
    <row r="989" spans="6:9">
      <c r="F989" s="29" t="s">
        <v>14</v>
      </c>
      <c r="G989" s="30" t="s">
        <v>666</v>
      </c>
      <c r="H989" s="30" t="s">
        <v>677</v>
      </c>
      <c r="I989" s="31">
        <v>1529</v>
      </c>
    </row>
    <row r="990" spans="6:9">
      <c r="F990" s="29" t="s">
        <v>10</v>
      </c>
      <c r="G990" s="30" t="s">
        <v>662</v>
      </c>
      <c r="H990" s="30" t="s">
        <v>663</v>
      </c>
      <c r="I990" s="31">
        <v>494</v>
      </c>
    </row>
    <row r="991" spans="6:9">
      <c r="F991" s="29" t="s">
        <v>111</v>
      </c>
      <c r="G991" s="30" t="s">
        <v>657</v>
      </c>
      <c r="H991" s="30" t="s">
        <v>681</v>
      </c>
      <c r="I991" s="31">
        <v>2825</v>
      </c>
    </row>
    <row r="992" spans="6:9">
      <c r="F992" s="29" t="s">
        <v>10</v>
      </c>
      <c r="G992" s="30" t="s">
        <v>666</v>
      </c>
      <c r="H992" s="30" t="s">
        <v>667</v>
      </c>
      <c r="I992" s="31">
        <v>3190</v>
      </c>
    </row>
    <row r="993" spans="6:9">
      <c r="F993" s="29" t="s">
        <v>111</v>
      </c>
      <c r="G993" s="30" t="s">
        <v>670</v>
      </c>
      <c r="H993" s="30" t="s">
        <v>669</v>
      </c>
      <c r="I993" s="31">
        <v>2270</v>
      </c>
    </row>
    <row r="994" spans="6:9">
      <c r="F994" s="29" t="s">
        <v>14</v>
      </c>
      <c r="G994" s="30" t="s">
        <v>660</v>
      </c>
      <c r="H994" s="30" t="s">
        <v>664</v>
      </c>
      <c r="I994" s="31">
        <v>4394</v>
      </c>
    </row>
    <row r="995" spans="6:9">
      <c r="F995" s="29" t="s">
        <v>14</v>
      </c>
      <c r="G995" s="30" t="s">
        <v>657</v>
      </c>
      <c r="H995" s="30" t="s">
        <v>681</v>
      </c>
      <c r="I995" s="31">
        <v>9979</v>
      </c>
    </row>
    <row r="996" spans="6:9">
      <c r="F996" s="29" t="s">
        <v>16</v>
      </c>
      <c r="G996" s="30" t="s">
        <v>660</v>
      </c>
      <c r="H996" s="30" t="s">
        <v>668</v>
      </c>
      <c r="I996" s="31">
        <v>5991</v>
      </c>
    </row>
    <row r="997" spans="6:9">
      <c r="F997" s="29" t="s">
        <v>14</v>
      </c>
      <c r="G997" s="30" t="s">
        <v>670</v>
      </c>
      <c r="H997" s="30" t="s">
        <v>661</v>
      </c>
      <c r="I997" s="31">
        <v>7856</v>
      </c>
    </row>
    <row r="998" spans="6:9">
      <c r="F998" s="29" t="s">
        <v>14</v>
      </c>
      <c r="G998" s="30" t="s">
        <v>670</v>
      </c>
      <c r="H998" s="30" t="s">
        <v>664</v>
      </c>
      <c r="I998" s="31">
        <v>3912</v>
      </c>
    </row>
    <row r="999" spans="6:9">
      <c r="F999" s="29" t="s">
        <v>14</v>
      </c>
      <c r="G999" s="30" t="s">
        <v>652</v>
      </c>
      <c r="H999" s="30" t="s">
        <v>654</v>
      </c>
      <c r="I999" s="31">
        <v>1986</v>
      </c>
    </row>
    <row r="1000" spans="6:9">
      <c r="F1000" s="29" t="s">
        <v>111</v>
      </c>
      <c r="G1000" s="30" t="s">
        <v>660</v>
      </c>
      <c r="H1000" s="30" t="s">
        <v>665</v>
      </c>
      <c r="I1000" s="31">
        <v>6876</v>
      </c>
    </row>
    <row r="1001" spans="6:9">
      <c r="F1001" s="29" t="s">
        <v>10</v>
      </c>
      <c r="G1001" s="30" t="s">
        <v>666</v>
      </c>
      <c r="H1001" s="30" t="s">
        <v>673</v>
      </c>
      <c r="I1001" s="31">
        <v>5557</v>
      </c>
    </row>
    <row r="1002" spans="6:9">
      <c r="F1002" s="29" t="s">
        <v>111</v>
      </c>
      <c r="G1002" s="30" t="s">
        <v>671</v>
      </c>
      <c r="H1002" s="30" t="s">
        <v>674</v>
      </c>
      <c r="I1002" s="31">
        <v>7700</v>
      </c>
    </row>
    <row r="1003" spans="6:9">
      <c r="F1003" s="29" t="s">
        <v>111</v>
      </c>
      <c r="G1003" s="30" t="s">
        <v>671</v>
      </c>
      <c r="H1003" s="30" t="s">
        <v>675</v>
      </c>
      <c r="I1003" s="31">
        <v>4598</v>
      </c>
    </row>
    <row r="1004" spans="6:9">
      <c r="F1004" s="29" t="s">
        <v>16</v>
      </c>
      <c r="G1004" s="30" t="s">
        <v>657</v>
      </c>
      <c r="H1004" s="30" t="s">
        <v>678</v>
      </c>
      <c r="I1004" s="31">
        <v>7812</v>
      </c>
    </row>
    <row r="1005" spans="6:9">
      <c r="F1005" s="29" t="s">
        <v>14</v>
      </c>
      <c r="G1005" s="30" t="s">
        <v>649</v>
      </c>
      <c r="H1005" s="30" t="s">
        <v>655</v>
      </c>
      <c r="I1005" s="31">
        <v>8313</v>
      </c>
    </row>
    <row r="1006" spans="6:9">
      <c r="F1006" s="29" t="s">
        <v>10</v>
      </c>
      <c r="G1006" s="30" t="s">
        <v>660</v>
      </c>
      <c r="H1006" s="30" t="s">
        <v>668</v>
      </c>
      <c r="I1006" s="31">
        <v>8738</v>
      </c>
    </row>
    <row r="1007" spans="6:9">
      <c r="F1007" s="29" t="s">
        <v>111</v>
      </c>
      <c r="G1007" s="30" t="s">
        <v>660</v>
      </c>
      <c r="H1007" s="30" t="s">
        <v>665</v>
      </c>
      <c r="I1007" s="31">
        <v>403</v>
      </c>
    </row>
    <row r="1008" spans="6:9">
      <c r="F1008" s="29" t="s">
        <v>111</v>
      </c>
      <c r="G1008" s="30" t="s">
        <v>670</v>
      </c>
      <c r="H1008" s="30" t="s">
        <v>669</v>
      </c>
      <c r="I1008" s="31">
        <v>7466</v>
      </c>
    </row>
    <row r="1009" spans="6:9">
      <c r="F1009" s="29" t="s">
        <v>14</v>
      </c>
      <c r="G1009" s="30" t="s">
        <v>649</v>
      </c>
      <c r="H1009" s="30" t="s">
        <v>655</v>
      </c>
      <c r="I1009" s="31">
        <v>8215</v>
      </c>
    </row>
    <row r="1010" spans="6:9">
      <c r="F1010" s="29" t="s">
        <v>111</v>
      </c>
      <c r="G1010" s="30" t="s">
        <v>649</v>
      </c>
      <c r="H1010" s="30" t="s">
        <v>651</v>
      </c>
      <c r="I1010" s="31">
        <v>6335</v>
      </c>
    </row>
    <row r="1011" spans="6:9">
      <c r="F1011" s="29" t="s">
        <v>10</v>
      </c>
      <c r="G1011" s="30" t="s">
        <v>660</v>
      </c>
      <c r="H1011" s="30" t="s">
        <v>664</v>
      </c>
      <c r="I1011" s="31">
        <v>1943</v>
      </c>
    </row>
    <row r="1012" spans="6:9">
      <c r="F1012" s="29" t="s">
        <v>10</v>
      </c>
      <c r="G1012" s="30" t="s">
        <v>660</v>
      </c>
      <c r="H1012" s="30" t="s">
        <v>664</v>
      </c>
      <c r="I1012" s="31">
        <v>4724</v>
      </c>
    </row>
    <row r="1013" spans="6:9">
      <c r="F1013" s="29" t="s">
        <v>111</v>
      </c>
      <c r="G1013" s="30" t="s">
        <v>660</v>
      </c>
      <c r="H1013" s="30" t="s">
        <v>664</v>
      </c>
      <c r="I1013" s="31">
        <v>9185</v>
      </c>
    </row>
    <row r="1014" spans="6:9">
      <c r="F1014" s="29" t="s">
        <v>14</v>
      </c>
      <c r="G1014" s="30" t="s">
        <v>670</v>
      </c>
      <c r="H1014" s="30" t="s">
        <v>669</v>
      </c>
      <c r="I1014" s="31">
        <v>8579</v>
      </c>
    </row>
    <row r="1015" spans="6:9">
      <c r="F1015" s="29" t="s">
        <v>10</v>
      </c>
      <c r="G1015" s="30" t="s">
        <v>671</v>
      </c>
      <c r="H1015" s="30" t="s">
        <v>675</v>
      </c>
      <c r="I1015" s="31">
        <v>1186</v>
      </c>
    </row>
    <row r="1016" spans="6:9">
      <c r="F1016" s="29" t="s">
        <v>16</v>
      </c>
      <c r="G1016" s="30" t="s">
        <v>649</v>
      </c>
      <c r="H1016" s="30" t="s">
        <v>648</v>
      </c>
      <c r="I1016" s="31">
        <v>1506</v>
      </c>
    </row>
    <row r="1017" spans="6:9">
      <c r="F1017" s="29" t="s">
        <v>10</v>
      </c>
      <c r="G1017" s="30" t="s">
        <v>659</v>
      </c>
      <c r="H1017" s="30" t="s">
        <v>655</v>
      </c>
      <c r="I1017" s="31">
        <v>348</v>
      </c>
    </row>
    <row r="1018" spans="6:9">
      <c r="F1018" s="29" t="s">
        <v>16</v>
      </c>
      <c r="G1018" s="30" t="s">
        <v>652</v>
      </c>
      <c r="H1018" s="30" t="s">
        <v>653</v>
      </c>
      <c r="I1018" s="31">
        <v>3676</v>
      </c>
    </row>
    <row r="1019" spans="6:9">
      <c r="F1019" s="29" t="s">
        <v>14</v>
      </c>
      <c r="G1019" s="30" t="s">
        <v>657</v>
      </c>
      <c r="H1019" s="30" t="s">
        <v>678</v>
      </c>
      <c r="I1019" s="31">
        <v>6164</v>
      </c>
    </row>
    <row r="1020" spans="6:9">
      <c r="F1020" s="29" t="s">
        <v>16</v>
      </c>
      <c r="G1020" s="30" t="s">
        <v>657</v>
      </c>
      <c r="H1020" s="30" t="s">
        <v>681</v>
      </c>
      <c r="I1020" s="31">
        <v>2606</v>
      </c>
    </row>
    <row r="1021" spans="6:9">
      <c r="F1021" s="29" t="s">
        <v>10</v>
      </c>
      <c r="G1021" s="30" t="s">
        <v>657</v>
      </c>
      <c r="H1021" s="30" t="s">
        <v>681</v>
      </c>
      <c r="I1021" s="31">
        <v>4121</v>
      </c>
    </row>
    <row r="1022" spans="6:9">
      <c r="F1022" s="29" t="s">
        <v>14</v>
      </c>
      <c r="G1022" s="30" t="s">
        <v>652</v>
      </c>
      <c r="H1022" s="30" t="s">
        <v>653</v>
      </c>
      <c r="I1022" s="31">
        <v>3066</v>
      </c>
    </row>
    <row r="1023" spans="6:9">
      <c r="F1023" s="29" t="s">
        <v>111</v>
      </c>
      <c r="G1023" s="30" t="s">
        <v>649</v>
      </c>
      <c r="H1023" s="30" t="s">
        <v>648</v>
      </c>
      <c r="I1023" s="31">
        <v>7177</v>
      </c>
    </row>
    <row r="1024" spans="6:9">
      <c r="F1024" s="29" t="s">
        <v>10</v>
      </c>
      <c r="G1024" s="30" t="s">
        <v>660</v>
      </c>
      <c r="H1024" s="30" t="s">
        <v>661</v>
      </c>
      <c r="I1024" s="31">
        <v>1283</v>
      </c>
    </row>
    <row r="1025" spans="6:9">
      <c r="F1025" s="29" t="s">
        <v>16</v>
      </c>
      <c r="G1025" s="30" t="s">
        <v>670</v>
      </c>
      <c r="H1025" s="30" t="s">
        <v>669</v>
      </c>
      <c r="I1025" s="31">
        <v>1925</v>
      </c>
    </row>
    <row r="1026" spans="6:9">
      <c r="F1026" s="29" t="s">
        <v>111</v>
      </c>
      <c r="G1026" s="30" t="s">
        <v>666</v>
      </c>
      <c r="H1026" s="30" t="s">
        <v>673</v>
      </c>
      <c r="I1026" s="31">
        <v>1320</v>
      </c>
    </row>
    <row r="1027" spans="6:9">
      <c r="F1027" s="29" t="s">
        <v>111</v>
      </c>
      <c r="G1027" s="30" t="s">
        <v>649</v>
      </c>
      <c r="H1027" s="30" t="s">
        <v>648</v>
      </c>
      <c r="I1027" s="31">
        <v>2343</v>
      </c>
    </row>
    <row r="1028" spans="6:9">
      <c r="F1028" s="29" t="s">
        <v>10</v>
      </c>
      <c r="G1028" s="30" t="s">
        <v>670</v>
      </c>
      <c r="H1028" s="30" t="s">
        <v>661</v>
      </c>
      <c r="I1028" s="31">
        <v>4568</v>
      </c>
    </row>
    <row r="1029" spans="6:9">
      <c r="F1029" s="29" t="s">
        <v>111</v>
      </c>
      <c r="G1029" s="30" t="s">
        <v>662</v>
      </c>
      <c r="H1029" s="30" t="s">
        <v>663</v>
      </c>
      <c r="I1029" s="31">
        <v>6272</v>
      </c>
    </row>
    <row r="1030" spans="6:9">
      <c r="F1030" s="29" t="s">
        <v>111</v>
      </c>
      <c r="G1030" s="30" t="s">
        <v>660</v>
      </c>
      <c r="H1030" s="30" t="s">
        <v>661</v>
      </c>
      <c r="I1030" s="31">
        <v>1419</v>
      </c>
    </row>
    <row r="1031" spans="6:9">
      <c r="F1031" s="29" t="s">
        <v>14</v>
      </c>
      <c r="G1031" s="30" t="s">
        <v>662</v>
      </c>
      <c r="H1031" s="30" t="s">
        <v>663</v>
      </c>
      <c r="I1031" s="31">
        <v>6043</v>
      </c>
    </row>
    <row r="1032" spans="6:9">
      <c r="F1032" s="29" t="s">
        <v>10</v>
      </c>
      <c r="G1032" s="30" t="s">
        <v>649</v>
      </c>
      <c r="H1032" s="30" t="s">
        <v>655</v>
      </c>
      <c r="I1032" s="31">
        <v>9281</v>
      </c>
    </row>
    <row r="1033" spans="6:9">
      <c r="F1033" s="29" t="s">
        <v>14</v>
      </c>
      <c r="G1033" s="30" t="s">
        <v>660</v>
      </c>
      <c r="H1033" s="30" t="s">
        <v>661</v>
      </c>
      <c r="I1033" s="31">
        <v>7340</v>
      </c>
    </row>
    <row r="1034" spans="6:9">
      <c r="F1034" s="29" t="s">
        <v>14</v>
      </c>
      <c r="G1034" s="30" t="s">
        <v>657</v>
      </c>
      <c r="H1034" s="30" t="s">
        <v>658</v>
      </c>
      <c r="I1034" s="31">
        <v>2087</v>
      </c>
    </row>
    <row r="1035" spans="6:9">
      <c r="F1035" s="29" t="s">
        <v>10</v>
      </c>
      <c r="G1035" s="30" t="s">
        <v>670</v>
      </c>
      <c r="H1035" s="30" t="s">
        <v>661</v>
      </c>
      <c r="I1035" s="31">
        <v>463</v>
      </c>
    </row>
    <row r="1036" spans="6:9">
      <c r="F1036" s="29" t="s">
        <v>14</v>
      </c>
      <c r="G1036" s="30" t="s">
        <v>652</v>
      </c>
      <c r="H1036" s="30" t="s">
        <v>654</v>
      </c>
      <c r="I1036" s="31">
        <v>2749</v>
      </c>
    </row>
    <row r="1037" spans="6:9">
      <c r="F1037" s="29" t="s">
        <v>14</v>
      </c>
      <c r="G1037" s="30" t="s">
        <v>660</v>
      </c>
      <c r="H1037" s="30" t="s">
        <v>661</v>
      </c>
      <c r="I1037" s="31">
        <v>9016</v>
      </c>
    </row>
    <row r="1038" spans="6:9">
      <c r="F1038" s="29" t="s">
        <v>16</v>
      </c>
      <c r="G1038" s="30" t="s">
        <v>670</v>
      </c>
      <c r="H1038" s="30" t="s">
        <v>664</v>
      </c>
      <c r="I1038" s="31">
        <v>5190</v>
      </c>
    </row>
    <row r="1039" spans="6:9">
      <c r="F1039" s="29" t="s">
        <v>111</v>
      </c>
      <c r="G1039" s="30" t="s">
        <v>660</v>
      </c>
      <c r="H1039" s="30" t="s">
        <v>664</v>
      </c>
      <c r="I1039" s="31">
        <v>8998</v>
      </c>
    </row>
    <row r="1040" spans="6:9">
      <c r="F1040" s="29" t="s">
        <v>111</v>
      </c>
      <c r="G1040" s="30" t="s">
        <v>662</v>
      </c>
      <c r="H1040" s="30" t="s">
        <v>679</v>
      </c>
      <c r="I1040" s="31">
        <v>3793</v>
      </c>
    </row>
    <row r="1041" spans="6:9">
      <c r="F1041" s="29" t="s">
        <v>16</v>
      </c>
      <c r="G1041" s="30" t="s">
        <v>662</v>
      </c>
      <c r="H1041" s="30" t="s">
        <v>676</v>
      </c>
      <c r="I1041" s="31">
        <v>8869</v>
      </c>
    </row>
    <row r="1042" spans="6:9">
      <c r="F1042" s="29" t="s">
        <v>111</v>
      </c>
      <c r="G1042" s="30" t="s">
        <v>666</v>
      </c>
      <c r="H1042" s="30" t="s">
        <v>673</v>
      </c>
      <c r="I1042" s="31">
        <v>6060</v>
      </c>
    </row>
    <row r="1043" spans="6:9">
      <c r="F1043" s="29" t="s">
        <v>16</v>
      </c>
      <c r="G1043" s="30" t="s">
        <v>657</v>
      </c>
      <c r="H1043" s="30" t="s">
        <v>681</v>
      </c>
      <c r="I1043" s="31">
        <v>6745</v>
      </c>
    </row>
    <row r="1044" spans="6:9">
      <c r="F1044" s="29" t="s">
        <v>10</v>
      </c>
      <c r="G1044" s="30" t="s">
        <v>649</v>
      </c>
      <c r="H1044" s="30" t="s">
        <v>651</v>
      </c>
      <c r="I1044" s="31">
        <v>6309</v>
      </c>
    </row>
    <row r="1045" spans="6:9">
      <c r="F1045" s="29" t="s">
        <v>14</v>
      </c>
      <c r="G1045" s="30" t="s">
        <v>660</v>
      </c>
      <c r="H1045" s="30" t="s">
        <v>664</v>
      </c>
      <c r="I1045" s="31">
        <v>1607</v>
      </c>
    </row>
    <row r="1046" spans="6:9">
      <c r="F1046" s="29" t="s">
        <v>16</v>
      </c>
      <c r="G1046" s="30" t="s">
        <v>657</v>
      </c>
      <c r="H1046" s="30" t="s">
        <v>678</v>
      </c>
      <c r="I1046" s="31">
        <v>2970</v>
      </c>
    </row>
    <row r="1047" spans="6:9">
      <c r="F1047" s="29" t="s">
        <v>16</v>
      </c>
      <c r="G1047" s="30" t="s">
        <v>652</v>
      </c>
      <c r="H1047" s="30" t="s">
        <v>654</v>
      </c>
      <c r="I1047" s="31">
        <v>261</v>
      </c>
    </row>
    <row r="1048" spans="6:9">
      <c r="F1048" s="29" t="s">
        <v>10</v>
      </c>
      <c r="G1048" s="30" t="s">
        <v>659</v>
      </c>
      <c r="H1048" s="30" t="s">
        <v>661</v>
      </c>
      <c r="I1048" s="31">
        <v>2820</v>
      </c>
    </row>
    <row r="1049" spans="6:9">
      <c r="F1049" s="29" t="s">
        <v>10</v>
      </c>
      <c r="G1049" s="30" t="s">
        <v>662</v>
      </c>
      <c r="H1049" s="30" t="s">
        <v>663</v>
      </c>
      <c r="I1049" s="31">
        <v>518</v>
      </c>
    </row>
    <row r="1050" spans="6:9">
      <c r="F1050" s="29" t="s">
        <v>14</v>
      </c>
      <c r="G1050" s="30" t="s">
        <v>662</v>
      </c>
      <c r="H1050" s="30" t="s">
        <v>663</v>
      </c>
      <c r="I1050" s="31">
        <v>389</v>
      </c>
    </row>
    <row r="1051" spans="6:9">
      <c r="F1051" s="29" t="s">
        <v>10</v>
      </c>
      <c r="G1051" s="30" t="s">
        <v>671</v>
      </c>
      <c r="H1051" s="30" t="s">
        <v>674</v>
      </c>
      <c r="I1051" s="31">
        <v>4892</v>
      </c>
    </row>
    <row r="1052" spans="6:9">
      <c r="F1052" s="29" t="s">
        <v>16</v>
      </c>
      <c r="G1052" s="30" t="s">
        <v>659</v>
      </c>
      <c r="H1052" s="30" t="s">
        <v>654</v>
      </c>
      <c r="I1052" s="31">
        <v>9725</v>
      </c>
    </row>
    <row r="1053" spans="6:9">
      <c r="F1053" s="29" t="s">
        <v>10</v>
      </c>
      <c r="G1053" s="30" t="s">
        <v>659</v>
      </c>
      <c r="H1053" s="30" t="s">
        <v>655</v>
      </c>
      <c r="I1053" s="31">
        <v>1889</v>
      </c>
    </row>
    <row r="1054" spans="6:9">
      <c r="F1054" s="29" t="s">
        <v>111</v>
      </c>
      <c r="G1054" s="30" t="s">
        <v>659</v>
      </c>
      <c r="H1054" s="30" t="s">
        <v>661</v>
      </c>
      <c r="I1054" s="31">
        <v>2805</v>
      </c>
    </row>
    <row r="1055" spans="6:9">
      <c r="F1055" s="29" t="s">
        <v>14</v>
      </c>
      <c r="G1055" s="30" t="s">
        <v>659</v>
      </c>
      <c r="H1055" s="30" t="s">
        <v>661</v>
      </c>
      <c r="I1055" s="31">
        <v>715</v>
      </c>
    </row>
    <row r="1056" spans="6:9">
      <c r="F1056" s="29" t="s">
        <v>14</v>
      </c>
      <c r="G1056" s="30" t="s">
        <v>649</v>
      </c>
      <c r="H1056" s="30" t="s">
        <v>648</v>
      </c>
      <c r="I1056" s="31">
        <v>9304</v>
      </c>
    </row>
    <row r="1057" spans="6:9">
      <c r="F1057" s="29" t="s">
        <v>16</v>
      </c>
      <c r="G1057" s="30" t="s">
        <v>659</v>
      </c>
      <c r="H1057" s="30" t="s">
        <v>654</v>
      </c>
      <c r="I1057" s="31">
        <v>2224</v>
      </c>
    </row>
    <row r="1058" spans="6:9">
      <c r="F1058" s="29" t="s">
        <v>16</v>
      </c>
      <c r="G1058" s="30" t="s">
        <v>670</v>
      </c>
      <c r="H1058" s="30" t="s">
        <v>669</v>
      </c>
      <c r="I1058" s="31">
        <v>8874</v>
      </c>
    </row>
    <row r="1059" spans="6:9">
      <c r="F1059" s="29" t="s">
        <v>14</v>
      </c>
      <c r="G1059" s="30" t="s">
        <v>652</v>
      </c>
      <c r="H1059" s="30" t="s">
        <v>653</v>
      </c>
      <c r="I1059" s="31">
        <v>782</v>
      </c>
    </row>
    <row r="1060" spans="6:9">
      <c r="F1060" s="29" t="s">
        <v>16</v>
      </c>
      <c r="G1060" s="30" t="s">
        <v>670</v>
      </c>
      <c r="H1060" s="30" t="s">
        <v>664</v>
      </c>
      <c r="I1060" s="31">
        <v>4637</v>
      </c>
    </row>
    <row r="1061" spans="6:9">
      <c r="F1061" s="29" t="s">
        <v>14</v>
      </c>
      <c r="G1061" s="30" t="s">
        <v>660</v>
      </c>
      <c r="H1061" s="30" t="s">
        <v>664</v>
      </c>
      <c r="I1061" s="31">
        <v>8089</v>
      </c>
    </row>
    <row r="1062" spans="6:9">
      <c r="F1062" s="29" t="s">
        <v>10</v>
      </c>
      <c r="G1062" s="30" t="s">
        <v>649</v>
      </c>
      <c r="H1062" s="30" t="s">
        <v>648</v>
      </c>
      <c r="I1062" s="31">
        <v>6938</v>
      </c>
    </row>
    <row r="1063" spans="6:9">
      <c r="F1063" s="29" t="s">
        <v>16</v>
      </c>
      <c r="G1063" s="30" t="s">
        <v>659</v>
      </c>
      <c r="H1063" s="30" t="s">
        <v>661</v>
      </c>
      <c r="I1063" s="31">
        <v>6564</v>
      </c>
    </row>
    <row r="1064" spans="6:9">
      <c r="F1064" s="29" t="s">
        <v>10</v>
      </c>
      <c r="G1064" s="30" t="s">
        <v>662</v>
      </c>
      <c r="H1064" s="30" t="s">
        <v>679</v>
      </c>
      <c r="I1064" s="31">
        <v>2189</v>
      </c>
    </row>
    <row r="1065" spans="6:9">
      <c r="F1065" s="29" t="s">
        <v>111</v>
      </c>
      <c r="G1065" s="30" t="s">
        <v>662</v>
      </c>
      <c r="H1065" s="30" t="s">
        <v>676</v>
      </c>
      <c r="I1065" s="31">
        <v>3586</v>
      </c>
    </row>
    <row r="1066" spans="6:9">
      <c r="F1066" s="29" t="s">
        <v>16</v>
      </c>
      <c r="G1066" s="30" t="s">
        <v>671</v>
      </c>
      <c r="H1066" s="30" t="s">
        <v>674</v>
      </c>
      <c r="I1066" s="31">
        <v>8413</v>
      </c>
    </row>
    <row r="1067" spans="6:9">
      <c r="F1067" s="29" t="s">
        <v>14</v>
      </c>
      <c r="G1067" s="30" t="s">
        <v>671</v>
      </c>
      <c r="H1067" s="30" t="s">
        <v>672</v>
      </c>
      <c r="I1067" s="31">
        <v>2912</v>
      </c>
    </row>
    <row r="1068" spans="6:9">
      <c r="F1068" s="29" t="s">
        <v>111</v>
      </c>
      <c r="G1068" s="30" t="s">
        <v>660</v>
      </c>
      <c r="H1068" s="30" t="s">
        <v>665</v>
      </c>
      <c r="I1068" s="31">
        <v>1024</v>
      </c>
    </row>
    <row r="1069" spans="6:9">
      <c r="F1069" s="29" t="s">
        <v>14</v>
      </c>
      <c r="G1069" s="30" t="s">
        <v>652</v>
      </c>
      <c r="H1069" s="30" t="s">
        <v>654</v>
      </c>
      <c r="I1069" s="31">
        <v>5840</v>
      </c>
    </row>
    <row r="1070" spans="6:9">
      <c r="F1070" s="29" t="s">
        <v>16</v>
      </c>
      <c r="G1070" s="30" t="s">
        <v>649</v>
      </c>
      <c r="H1070" s="30" t="s">
        <v>655</v>
      </c>
      <c r="I1070" s="31">
        <v>8852</v>
      </c>
    </row>
    <row r="1071" spans="6:9">
      <c r="F1071" s="29" t="s">
        <v>10</v>
      </c>
      <c r="G1071" s="30" t="s">
        <v>659</v>
      </c>
      <c r="H1071" s="30" t="s">
        <v>654</v>
      </c>
      <c r="I1071" s="31">
        <v>2984</v>
      </c>
    </row>
    <row r="1072" spans="6:9">
      <c r="F1072" s="29" t="s">
        <v>14</v>
      </c>
      <c r="G1072" s="30" t="s">
        <v>670</v>
      </c>
      <c r="H1072" s="30" t="s">
        <v>669</v>
      </c>
      <c r="I1072" s="31">
        <v>2616</v>
      </c>
    </row>
    <row r="1073" spans="6:9">
      <c r="F1073" s="29" t="s">
        <v>10</v>
      </c>
      <c r="G1073" s="30" t="s">
        <v>652</v>
      </c>
      <c r="H1073" s="30" t="s">
        <v>656</v>
      </c>
      <c r="I1073" s="31">
        <v>4614</v>
      </c>
    </row>
    <row r="1074" spans="6:9">
      <c r="F1074" s="29" t="s">
        <v>10</v>
      </c>
      <c r="G1074" s="30" t="s">
        <v>649</v>
      </c>
      <c r="H1074" s="30" t="s">
        <v>651</v>
      </c>
      <c r="I1074" s="31">
        <v>3463</v>
      </c>
    </row>
    <row r="1075" spans="6:9">
      <c r="F1075" s="29" t="s">
        <v>16</v>
      </c>
      <c r="G1075" s="30" t="s">
        <v>660</v>
      </c>
      <c r="H1075" s="30" t="s">
        <v>665</v>
      </c>
      <c r="I1075" s="31">
        <v>6307</v>
      </c>
    </row>
    <row r="1076" spans="6:9">
      <c r="F1076" s="29" t="s">
        <v>14</v>
      </c>
      <c r="G1076" s="30" t="s">
        <v>657</v>
      </c>
      <c r="H1076" s="30" t="s">
        <v>681</v>
      </c>
      <c r="I1076" s="31">
        <v>2788</v>
      </c>
    </row>
    <row r="1077" spans="6:9">
      <c r="F1077" s="29" t="s">
        <v>111</v>
      </c>
      <c r="G1077" s="30" t="s">
        <v>671</v>
      </c>
      <c r="H1077" s="30" t="s">
        <v>675</v>
      </c>
      <c r="I1077" s="31">
        <v>5064</v>
      </c>
    </row>
    <row r="1078" spans="6:9">
      <c r="F1078" s="29" t="s">
        <v>10</v>
      </c>
      <c r="G1078" s="30" t="s">
        <v>671</v>
      </c>
      <c r="H1078" s="30" t="s">
        <v>672</v>
      </c>
      <c r="I1078" s="31">
        <v>4191</v>
      </c>
    </row>
    <row r="1079" spans="6:9">
      <c r="F1079" s="29" t="s">
        <v>16</v>
      </c>
      <c r="G1079" s="30" t="s">
        <v>670</v>
      </c>
      <c r="H1079" s="30" t="s">
        <v>661</v>
      </c>
      <c r="I1079" s="31">
        <v>8953</v>
      </c>
    </row>
    <row r="1080" spans="6:9">
      <c r="F1080" s="29" t="s">
        <v>14</v>
      </c>
      <c r="G1080" s="30" t="s">
        <v>649</v>
      </c>
      <c r="H1080" s="30" t="s">
        <v>651</v>
      </c>
      <c r="I1080" s="31">
        <v>1694</v>
      </c>
    </row>
    <row r="1081" spans="6:9">
      <c r="F1081" s="29" t="s">
        <v>111</v>
      </c>
      <c r="G1081" s="30" t="s">
        <v>670</v>
      </c>
      <c r="H1081" s="30" t="s">
        <v>674</v>
      </c>
      <c r="I1081" s="31">
        <v>5166</v>
      </c>
    </row>
    <row r="1082" spans="6:9">
      <c r="F1082" s="29" t="s">
        <v>16</v>
      </c>
      <c r="G1082" s="30" t="s">
        <v>670</v>
      </c>
      <c r="H1082" s="30" t="s">
        <v>669</v>
      </c>
      <c r="I1082" s="31">
        <v>2125</v>
      </c>
    </row>
    <row r="1083" spans="6:9">
      <c r="F1083" s="29" t="s">
        <v>111</v>
      </c>
      <c r="G1083" s="30" t="s">
        <v>670</v>
      </c>
      <c r="H1083" s="30" t="s">
        <v>669</v>
      </c>
      <c r="I1083" s="31">
        <v>7947</v>
      </c>
    </row>
    <row r="1084" spans="6:9">
      <c r="F1084" s="29" t="s">
        <v>14</v>
      </c>
      <c r="G1084" s="30" t="s">
        <v>657</v>
      </c>
      <c r="H1084" s="30" t="s">
        <v>658</v>
      </c>
      <c r="I1084" s="31">
        <v>1698</v>
      </c>
    </row>
    <row r="1085" spans="6:9">
      <c r="F1085" s="29" t="s">
        <v>16</v>
      </c>
      <c r="G1085" s="30" t="s">
        <v>657</v>
      </c>
      <c r="H1085" s="30" t="s">
        <v>678</v>
      </c>
      <c r="I1085" s="31">
        <v>9757</v>
      </c>
    </row>
    <row r="1086" spans="6:9">
      <c r="F1086" s="29" t="s">
        <v>14</v>
      </c>
      <c r="G1086" s="30" t="s">
        <v>670</v>
      </c>
      <c r="H1086" s="30" t="s">
        <v>661</v>
      </c>
      <c r="I1086" s="31">
        <v>6089</v>
      </c>
    </row>
    <row r="1087" spans="6:9">
      <c r="F1087" s="29" t="s">
        <v>16</v>
      </c>
      <c r="G1087" s="30" t="s">
        <v>671</v>
      </c>
      <c r="H1087" s="30" t="s">
        <v>672</v>
      </c>
      <c r="I1087" s="31">
        <v>5242</v>
      </c>
    </row>
    <row r="1088" spans="6:9">
      <c r="F1088" s="29" t="s">
        <v>111</v>
      </c>
      <c r="G1088" s="30" t="s">
        <v>660</v>
      </c>
      <c r="H1088" s="30" t="s">
        <v>665</v>
      </c>
      <c r="I1088" s="31">
        <v>967</v>
      </c>
    </row>
    <row r="1089" spans="6:9">
      <c r="F1089" s="29" t="s">
        <v>14</v>
      </c>
      <c r="G1089" s="30" t="s">
        <v>657</v>
      </c>
      <c r="H1089" s="30" t="s">
        <v>680</v>
      </c>
      <c r="I1089" s="31">
        <v>994</v>
      </c>
    </row>
    <row r="1090" spans="6:9">
      <c r="F1090" s="29" t="s">
        <v>14</v>
      </c>
      <c r="G1090" s="30" t="s">
        <v>657</v>
      </c>
      <c r="H1090" s="30" t="s">
        <v>658</v>
      </c>
      <c r="I1090" s="31">
        <v>4714</v>
      </c>
    </row>
    <row r="1091" spans="6:9">
      <c r="F1091" s="29" t="s">
        <v>14</v>
      </c>
      <c r="G1091" s="30" t="s">
        <v>660</v>
      </c>
      <c r="H1091" s="30" t="s">
        <v>664</v>
      </c>
      <c r="I1091" s="31">
        <v>9489</v>
      </c>
    </row>
    <row r="1092" spans="6:9">
      <c r="F1092" s="29" t="s">
        <v>111</v>
      </c>
      <c r="G1092" s="30" t="s">
        <v>657</v>
      </c>
      <c r="H1092" s="30" t="s">
        <v>658</v>
      </c>
      <c r="I1092" s="31">
        <v>9002</v>
      </c>
    </row>
    <row r="1093" spans="6:9">
      <c r="F1093" s="29" t="s">
        <v>14</v>
      </c>
      <c r="G1093" s="30" t="s">
        <v>662</v>
      </c>
      <c r="H1093" s="30" t="s">
        <v>663</v>
      </c>
      <c r="I1093" s="31">
        <v>5903</v>
      </c>
    </row>
    <row r="1094" spans="6:9">
      <c r="F1094" s="29" t="s">
        <v>16</v>
      </c>
      <c r="G1094" s="30" t="s">
        <v>671</v>
      </c>
      <c r="H1094" s="30" t="s">
        <v>674</v>
      </c>
      <c r="I1094" s="31">
        <v>5727</v>
      </c>
    </row>
    <row r="1095" spans="6:9">
      <c r="F1095" s="29" t="s">
        <v>10</v>
      </c>
      <c r="G1095" s="30" t="s">
        <v>657</v>
      </c>
      <c r="H1095" s="30" t="s">
        <v>680</v>
      </c>
      <c r="I1095" s="31">
        <v>6755</v>
      </c>
    </row>
    <row r="1096" spans="6:9">
      <c r="F1096" s="29" t="s">
        <v>10</v>
      </c>
      <c r="G1096" s="30" t="s">
        <v>671</v>
      </c>
      <c r="H1096" s="30" t="s">
        <v>674</v>
      </c>
      <c r="I1096" s="31">
        <v>7972</v>
      </c>
    </row>
    <row r="1097" spans="6:9">
      <c r="F1097" s="29" t="s">
        <v>16</v>
      </c>
      <c r="G1097" s="30" t="s">
        <v>660</v>
      </c>
      <c r="H1097" s="30" t="s">
        <v>661</v>
      </c>
      <c r="I1097" s="31">
        <v>4474</v>
      </c>
    </row>
    <row r="1098" spans="6:9">
      <c r="F1098" s="29" t="s">
        <v>111</v>
      </c>
      <c r="G1098" s="30" t="s">
        <v>659</v>
      </c>
      <c r="H1098" s="30" t="s">
        <v>654</v>
      </c>
      <c r="I1098" s="31">
        <v>5695</v>
      </c>
    </row>
    <row r="1099" spans="6:9">
      <c r="F1099" s="29" t="s">
        <v>16</v>
      </c>
      <c r="G1099" s="30" t="s">
        <v>657</v>
      </c>
      <c r="H1099" s="30" t="s">
        <v>680</v>
      </c>
      <c r="I1099" s="31">
        <v>1932</v>
      </c>
    </row>
    <row r="1100" spans="6:9">
      <c r="F1100" s="29" t="s">
        <v>111</v>
      </c>
      <c r="G1100" s="30" t="s">
        <v>657</v>
      </c>
      <c r="H1100" s="30" t="s">
        <v>681</v>
      </c>
      <c r="I1100" s="31">
        <v>6211</v>
      </c>
    </row>
    <row r="1101" spans="6:9">
      <c r="F1101" s="29" t="s">
        <v>111</v>
      </c>
      <c r="G1101" s="30" t="s">
        <v>660</v>
      </c>
      <c r="H1101" s="30" t="s">
        <v>668</v>
      </c>
      <c r="I1101" s="31">
        <v>754</v>
      </c>
    </row>
    <row r="1102" spans="6:9">
      <c r="F1102" s="29" t="s">
        <v>16</v>
      </c>
      <c r="G1102" s="30" t="s">
        <v>671</v>
      </c>
      <c r="H1102" s="30" t="s">
        <v>675</v>
      </c>
      <c r="I1102" s="31">
        <v>2092</v>
      </c>
    </row>
    <row r="1103" spans="6:9">
      <c r="F1103" s="29" t="s">
        <v>14</v>
      </c>
      <c r="G1103" s="30" t="s">
        <v>657</v>
      </c>
      <c r="H1103" s="30" t="s">
        <v>678</v>
      </c>
      <c r="I1103" s="31">
        <v>2525</v>
      </c>
    </row>
    <row r="1104" spans="6:9">
      <c r="F1104" s="29" t="s">
        <v>14</v>
      </c>
      <c r="G1104" s="30" t="s">
        <v>652</v>
      </c>
      <c r="H1104" s="30" t="s">
        <v>653</v>
      </c>
      <c r="I1104" s="31">
        <v>1205</v>
      </c>
    </row>
    <row r="1105" spans="6:9">
      <c r="F1105" s="29" t="s">
        <v>111</v>
      </c>
      <c r="G1105" s="30" t="s">
        <v>659</v>
      </c>
      <c r="H1105" s="30" t="s">
        <v>661</v>
      </c>
      <c r="I1105" s="31">
        <v>519</v>
      </c>
    </row>
    <row r="1106" spans="6:9">
      <c r="F1106" s="29" t="s">
        <v>111</v>
      </c>
      <c r="G1106" s="30" t="s">
        <v>657</v>
      </c>
      <c r="H1106" s="30" t="s">
        <v>678</v>
      </c>
      <c r="I1106" s="31">
        <v>6288</v>
      </c>
    </row>
    <row r="1107" spans="6:9">
      <c r="F1107" s="29" t="s">
        <v>16</v>
      </c>
      <c r="G1107" s="30" t="s">
        <v>662</v>
      </c>
      <c r="H1107" s="30" t="s">
        <v>663</v>
      </c>
      <c r="I1107" s="31">
        <v>4991</v>
      </c>
    </row>
    <row r="1108" spans="6:9">
      <c r="F1108" s="29" t="s">
        <v>10</v>
      </c>
      <c r="G1108" s="30" t="s">
        <v>657</v>
      </c>
      <c r="H1108" s="30" t="s">
        <v>678</v>
      </c>
      <c r="I1108" s="31">
        <v>9302</v>
      </c>
    </row>
    <row r="1109" spans="6:9">
      <c r="F1109" s="29" t="s">
        <v>111</v>
      </c>
      <c r="G1109" s="30" t="s">
        <v>666</v>
      </c>
      <c r="H1109" s="30" t="s">
        <v>677</v>
      </c>
      <c r="I1109" s="31">
        <v>9792</v>
      </c>
    </row>
    <row r="1110" spans="6:9">
      <c r="F1110" s="29" t="s">
        <v>14</v>
      </c>
      <c r="G1110" s="30" t="s">
        <v>657</v>
      </c>
      <c r="H1110" s="30" t="s">
        <v>680</v>
      </c>
      <c r="I1110" s="31">
        <v>6082</v>
      </c>
    </row>
    <row r="1111" spans="6:9">
      <c r="F1111" s="29" t="s">
        <v>16</v>
      </c>
      <c r="G1111" s="30" t="s">
        <v>657</v>
      </c>
      <c r="H1111" s="30" t="s">
        <v>681</v>
      </c>
      <c r="I1111" s="31">
        <v>2967</v>
      </c>
    </row>
    <row r="1112" spans="6:9">
      <c r="F1112" s="29" t="s">
        <v>10</v>
      </c>
      <c r="G1112" s="30" t="s">
        <v>652</v>
      </c>
      <c r="H1112" s="30" t="s">
        <v>653</v>
      </c>
      <c r="I1112" s="31">
        <v>4872</v>
      </c>
    </row>
    <row r="1113" spans="6:9">
      <c r="F1113" s="29" t="s">
        <v>111</v>
      </c>
      <c r="G1113" s="30" t="s">
        <v>666</v>
      </c>
      <c r="H1113" s="30" t="s">
        <v>677</v>
      </c>
      <c r="I1113" s="31">
        <v>4491</v>
      </c>
    </row>
    <row r="1114" spans="6:9">
      <c r="F1114" s="29" t="s">
        <v>111</v>
      </c>
      <c r="G1114" s="30" t="s">
        <v>660</v>
      </c>
      <c r="H1114" s="30" t="s">
        <v>664</v>
      </c>
      <c r="I1114" s="31">
        <v>9164</v>
      </c>
    </row>
    <row r="1115" spans="6:9">
      <c r="F1115" s="29" t="s">
        <v>10</v>
      </c>
      <c r="G1115" s="30" t="s">
        <v>660</v>
      </c>
      <c r="H1115" s="30" t="s">
        <v>668</v>
      </c>
      <c r="I1115" s="31">
        <v>2451</v>
      </c>
    </row>
    <row r="1116" spans="6:9">
      <c r="F1116" s="29" t="s">
        <v>111</v>
      </c>
      <c r="G1116" s="30" t="s">
        <v>670</v>
      </c>
      <c r="H1116" s="30" t="s">
        <v>674</v>
      </c>
      <c r="I1116" s="31">
        <v>9665</v>
      </c>
    </row>
    <row r="1117" spans="6:9">
      <c r="F1117" s="29" t="s">
        <v>14</v>
      </c>
      <c r="G1117" s="30" t="s">
        <v>666</v>
      </c>
      <c r="H1117" s="30" t="s">
        <v>667</v>
      </c>
      <c r="I1117" s="31">
        <v>2939</v>
      </c>
    </row>
    <row r="1118" spans="6:9">
      <c r="F1118" s="29" t="s">
        <v>16</v>
      </c>
      <c r="G1118" s="30" t="s">
        <v>652</v>
      </c>
      <c r="H1118" s="30" t="s">
        <v>653</v>
      </c>
      <c r="I1118" s="31">
        <v>1412</v>
      </c>
    </row>
    <row r="1119" spans="6:9">
      <c r="F1119" s="29" t="s">
        <v>14</v>
      </c>
      <c r="G1119" s="30" t="s">
        <v>657</v>
      </c>
      <c r="H1119" s="30" t="s">
        <v>678</v>
      </c>
      <c r="I1119" s="31">
        <v>7276</v>
      </c>
    </row>
    <row r="1120" spans="6:9">
      <c r="F1120" s="29" t="s">
        <v>14</v>
      </c>
      <c r="G1120" s="30" t="s">
        <v>670</v>
      </c>
      <c r="H1120" s="30" t="s">
        <v>669</v>
      </c>
      <c r="I1120" s="31">
        <v>1118</v>
      </c>
    </row>
    <row r="1121" spans="6:9">
      <c r="F1121" s="29" t="s">
        <v>16</v>
      </c>
      <c r="G1121" s="30" t="s">
        <v>670</v>
      </c>
      <c r="H1121" s="30" t="s">
        <v>661</v>
      </c>
      <c r="I1121" s="31">
        <v>934</v>
      </c>
    </row>
    <row r="1122" spans="6:9">
      <c r="F1122" s="29" t="s">
        <v>111</v>
      </c>
      <c r="G1122" s="30" t="s">
        <v>670</v>
      </c>
      <c r="H1122" s="30" t="s">
        <v>669</v>
      </c>
      <c r="I1122" s="31">
        <v>6384</v>
      </c>
    </row>
    <row r="1123" spans="6:9">
      <c r="F1123" s="29" t="s">
        <v>16</v>
      </c>
      <c r="G1123" s="30" t="s">
        <v>666</v>
      </c>
      <c r="H1123" s="30" t="s">
        <v>667</v>
      </c>
      <c r="I1123" s="31">
        <v>8540</v>
      </c>
    </row>
    <row r="1124" spans="6:9">
      <c r="F1124" s="29" t="s">
        <v>111</v>
      </c>
      <c r="G1124" s="30" t="s">
        <v>662</v>
      </c>
      <c r="H1124" s="30" t="s">
        <v>679</v>
      </c>
      <c r="I1124" s="31">
        <v>2240</v>
      </c>
    </row>
    <row r="1125" spans="6:9">
      <c r="F1125" s="29" t="s">
        <v>16</v>
      </c>
      <c r="G1125" s="30" t="s">
        <v>666</v>
      </c>
      <c r="H1125" s="30" t="s">
        <v>677</v>
      </c>
      <c r="I1125" s="31">
        <v>2723</v>
      </c>
    </row>
    <row r="1126" spans="6:9">
      <c r="F1126" s="29" t="s">
        <v>14</v>
      </c>
      <c r="G1126" s="30" t="s">
        <v>670</v>
      </c>
      <c r="H1126" s="30" t="s">
        <v>674</v>
      </c>
      <c r="I1126" s="31">
        <v>4841</v>
      </c>
    </row>
    <row r="1127" spans="6:9">
      <c r="F1127" s="29" t="s">
        <v>10</v>
      </c>
      <c r="G1127" s="30" t="s">
        <v>649</v>
      </c>
      <c r="H1127" s="30" t="s">
        <v>655</v>
      </c>
      <c r="I1127" s="31">
        <v>7388</v>
      </c>
    </row>
    <row r="1128" spans="6:9">
      <c r="F1128" s="29" t="s">
        <v>14</v>
      </c>
      <c r="G1128" s="30" t="s">
        <v>660</v>
      </c>
      <c r="H1128" s="30" t="s">
        <v>661</v>
      </c>
      <c r="I1128" s="31">
        <v>6758</v>
      </c>
    </row>
    <row r="1129" spans="6:9">
      <c r="F1129" s="29" t="s">
        <v>16</v>
      </c>
      <c r="G1129" s="30" t="s">
        <v>666</v>
      </c>
      <c r="H1129" s="30" t="s">
        <v>677</v>
      </c>
      <c r="I1129" s="31">
        <v>9006</v>
      </c>
    </row>
    <row r="1130" spans="6:9">
      <c r="F1130" s="29" t="s">
        <v>14</v>
      </c>
      <c r="G1130" s="30" t="s">
        <v>657</v>
      </c>
      <c r="H1130" s="30" t="s">
        <v>680</v>
      </c>
      <c r="I1130" s="31">
        <v>7539</v>
      </c>
    </row>
    <row r="1131" spans="6:9">
      <c r="F1131" s="29" t="s">
        <v>14</v>
      </c>
      <c r="G1131" s="30" t="s">
        <v>662</v>
      </c>
      <c r="H1131" s="30" t="s">
        <v>663</v>
      </c>
      <c r="I1131" s="31">
        <v>3470</v>
      </c>
    </row>
    <row r="1132" spans="6:9">
      <c r="F1132" s="29" t="s">
        <v>16</v>
      </c>
      <c r="G1132" s="30" t="s">
        <v>671</v>
      </c>
      <c r="H1132" s="30" t="s">
        <v>672</v>
      </c>
      <c r="I1132" s="31">
        <v>8243</v>
      </c>
    </row>
    <row r="1133" spans="6:9">
      <c r="F1133" s="29" t="s">
        <v>16</v>
      </c>
      <c r="G1133" s="30" t="s">
        <v>649</v>
      </c>
      <c r="H1133" s="30" t="s">
        <v>651</v>
      </c>
      <c r="I1133" s="31">
        <v>2939</v>
      </c>
    </row>
    <row r="1134" spans="6:9">
      <c r="F1134" s="29" t="s">
        <v>10</v>
      </c>
      <c r="G1134" s="30" t="s">
        <v>657</v>
      </c>
      <c r="H1134" s="30" t="s">
        <v>681</v>
      </c>
      <c r="I1134" s="31">
        <v>6346</v>
      </c>
    </row>
    <row r="1135" spans="6:9">
      <c r="F1135" s="29" t="s">
        <v>111</v>
      </c>
      <c r="G1135" s="30" t="s">
        <v>670</v>
      </c>
      <c r="H1135" s="30" t="s">
        <v>674</v>
      </c>
      <c r="I1135" s="31">
        <v>4590</v>
      </c>
    </row>
    <row r="1136" spans="6:9">
      <c r="F1136" s="29" t="s">
        <v>16</v>
      </c>
      <c r="G1136" s="30" t="s">
        <v>652</v>
      </c>
      <c r="H1136" s="30" t="s">
        <v>654</v>
      </c>
      <c r="I1136" s="31">
        <v>4061</v>
      </c>
    </row>
    <row r="1137" spans="6:9">
      <c r="F1137" s="29" t="s">
        <v>14</v>
      </c>
      <c r="G1137" s="30" t="s">
        <v>659</v>
      </c>
      <c r="H1137" s="30" t="s">
        <v>654</v>
      </c>
      <c r="I1137" s="31">
        <v>3459</v>
      </c>
    </row>
    <row r="1138" spans="6:9">
      <c r="F1138" s="29" t="s">
        <v>16</v>
      </c>
      <c r="G1138" s="30" t="s">
        <v>666</v>
      </c>
      <c r="H1138" s="30" t="s">
        <v>673</v>
      </c>
      <c r="I1138" s="31">
        <v>4621</v>
      </c>
    </row>
    <row r="1139" spans="6:9">
      <c r="F1139" s="29" t="s">
        <v>10</v>
      </c>
      <c r="G1139" s="30" t="s">
        <v>666</v>
      </c>
      <c r="H1139" s="30" t="s">
        <v>673</v>
      </c>
      <c r="I1139" s="31">
        <v>8861</v>
      </c>
    </row>
    <row r="1140" spans="6:9">
      <c r="F1140" s="29" t="s">
        <v>10</v>
      </c>
      <c r="G1140" s="30" t="s">
        <v>659</v>
      </c>
      <c r="H1140" s="30" t="s">
        <v>655</v>
      </c>
      <c r="I1140" s="31">
        <v>1632</v>
      </c>
    </row>
    <row r="1141" spans="6:9">
      <c r="F1141" s="29" t="s">
        <v>10</v>
      </c>
      <c r="G1141" s="30" t="s">
        <v>652</v>
      </c>
      <c r="H1141" s="30" t="s">
        <v>656</v>
      </c>
      <c r="I1141" s="31">
        <v>1699</v>
      </c>
    </row>
    <row r="1142" spans="6:9">
      <c r="F1142" s="29" t="s">
        <v>10</v>
      </c>
      <c r="G1142" s="30" t="s">
        <v>657</v>
      </c>
      <c r="H1142" s="30" t="s">
        <v>680</v>
      </c>
      <c r="I1142" s="31">
        <v>2828</v>
      </c>
    </row>
    <row r="1143" spans="6:9">
      <c r="F1143" s="29" t="s">
        <v>16</v>
      </c>
      <c r="G1143" s="30" t="s">
        <v>671</v>
      </c>
      <c r="H1143" s="30" t="s">
        <v>675</v>
      </c>
      <c r="I1143" s="31">
        <v>3837</v>
      </c>
    </row>
    <row r="1144" spans="6:9">
      <c r="F1144" s="29" t="s">
        <v>111</v>
      </c>
      <c r="G1144" s="30" t="s">
        <v>657</v>
      </c>
      <c r="H1144" s="30" t="s">
        <v>658</v>
      </c>
      <c r="I1144" s="31">
        <v>446</v>
      </c>
    </row>
    <row r="1145" spans="6:9">
      <c r="F1145" s="29" t="s">
        <v>10</v>
      </c>
      <c r="G1145" s="30" t="s">
        <v>662</v>
      </c>
      <c r="H1145" s="30" t="s">
        <v>676</v>
      </c>
      <c r="I1145" s="31">
        <v>5577</v>
      </c>
    </row>
    <row r="1146" spans="6:9">
      <c r="F1146" s="29" t="s">
        <v>14</v>
      </c>
      <c r="G1146" s="30" t="s">
        <v>649</v>
      </c>
      <c r="H1146" s="30" t="s">
        <v>648</v>
      </c>
      <c r="I1146" s="31">
        <v>7322</v>
      </c>
    </row>
    <row r="1147" spans="6:9">
      <c r="F1147" s="29" t="s">
        <v>111</v>
      </c>
      <c r="G1147" s="30" t="s">
        <v>659</v>
      </c>
      <c r="H1147" s="30" t="s">
        <v>654</v>
      </c>
      <c r="I1147" s="31">
        <v>9749</v>
      </c>
    </row>
    <row r="1148" spans="6:9">
      <c r="F1148" s="29" t="s">
        <v>16</v>
      </c>
      <c r="G1148" s="30" t="s">
        <v>652</v>
      </c>
      <c r="H1148" s="30" t="s">
        <v>656</v>
      </c>
      <c r="I1148" s="31">
        <v>2630</v>
      </c>
    </row>
    <row r="1149" spans="6:9">
      <c r="F1149" s="29" t="s">
        <v>16</v>
      </c>
      <c r="G1149" s="30" t="s">
        <v>652</v>
      </c>
      <c r="H1149" s="30" t="s">
        <v>654</v>
      </c>
      <c r="I1149" s="31">
        <v>1306</v>
      </c>
    </row>
    <row r="1150" spans="6:9">
      <c r="F1150" s="29" t="s">
        <v>111</v>
      </c>
      <c r="G1150" s="30" t="s">
        <v>666</v>
      </c>
      <c r="H1150" s="30" t="s">
        <v>673</v>
      </c>
      <c r="I1150" s="31">
        <v>3790</v>
      </c>
    </row>
    <row r="1151" spans="6:9">
      <c r="F1151" s="29" t="s">
        <v>16</v>
      </c>
      <c r="G1151" s="30" t="s">
        <v>657</v>
      </c>
      <c r="H1151" s="30" t="s">
        <v>658</v>
      </c>
      <c r="I1151" s="31">
        <v>4406</v>
      </c>
    </row>
    <row r="1152" spans="6:9">
      <c r="F1152" s="29" t="s">
        <v>14</v>
      </c>
      <c r="G1152" s="30" t="s">
        <v>657</v>
      </c>
      <c r="H1152" s="30" t="s">
        <v>680</v>
      </c>
      <c r="I1152" s="31">
        <v>4257</v>
      </c>
    </row>
    <row r="1153" spans="6:9">
      <c r="F1153" s="29" t="s">
        <v>16</v>
      </c>
      <c r="G1153" s="30" t="s">
        <v>652</v>
      </c>
      <c r="H1153" s="30" t="s">
        <v>654</v>
      </c>
      <c r="I1153" s="31">
        <v>5171</v>
      </c>
    </row>
    <row r="1154" spans="6:9">
      <c r="F1154" s="29" t="s">
        <v>10</v>
      </c>
      <c r="G1154" s="30" t="s">
        <v>662</v>
      </c>
      <c r="H1154" s="30" t="s">
        <v>676</v>
      </c>
      <c r="I1154" s="31">
        <v>6529</v>
      </c>
    </row>
    <row r="1155" spans="6:9">
      <c r="F1155" s="29" t="s">
        <v>10</v>
      </c>
      <c r="G1155" s="30" t="s">
        <v>659</v>
      </c>
      <c r="H1155" s="30" t="s">
        <v>654</v>
      </c>
      <c r="I1155" s="31">
        <v>6643</v>
      </c>
    </row>
    <row r="1156" spans="6:9">
      <c r="F1156" s="29" t="s">
        <v>14</v>
      </c>
      <c r="G1156" s="30" t="s">
        <v>666</v>
      </c>
      <c r="H1156" s="30" t="s">
        <v>677</v>
      </c>
      <c r="I1156" s="31">
        <v>5037</v>
      </c>
    </row>
    <row r="1157" spans="6:9">
      <c r="F1157" s="29" t="s">
        <v>14</v>
      </c>
      <c r="G1157" s="30" t="s">
        <v>657</v>
      </c>
      <c r="H1157" s="30" t="s">
        <v>681</v>
      </c>
      <c r="I1157" s="31">
        <v>5647</v>
      </c>
    </row>
    <row r="1158" spans="6:9">
      <c r="F1158" s="29" t="s">
        <v>16</v>
      </c>
      <c r="G1158" s="30" t="s">
        <v>652</v>
      </c>
      <c r="H1158" s="30" t="s">
        <v>654</v>
      </c>
      <c r="I1158" s="31">
        <v>4841</v>
      </c>
    </row>
    <row r="1159" spans="6:9">
      <c r="F1159" s="29" t="s">
        <v>10</v>
      </c>
      <c r="G1159" s="30" t="s">
        <v>670</v>
      </c>
      <c r="H1159" s="30" t="s">
        <v>669</v>
      </c>
      <c r="I1159" s="31">
        <v>4611</v>
      </c>
    </row>
    <row r="1160" spans="6:9">
      <c r="F1160" s="29" t="s">
        <v>111</v>
      </c>
      <c r="G1160" s="30" t="s">
        <v>670</v>
      </c>
      <c r="H1160" s="30" t="s">
        <v>674</v>
      </c>
      <c r="I1160" s="31">
        <v>1087</v>
      </c>
    </row>
    <row r="1161" spans="6:9">
      <c r="F1161" s="29" t="s">
        <v>111</v>
      </c>
      <c r="G1161" s="30" t="s">
        <v>649</v>
      </c>
      <c r="H1161" s="30" t="s">
        <v>648</v>
      </c>
      <c r="I1161" s="31">
        <v>1699</v>
      </c>
    </row>
    <row r="1162" spans="6:9">
      <c r="F1162" s="29" t="s">
        <v>16</v>
      </c>
      <c r="G1162" s="30" t="s">
        <v>659</v>
      </c>
      <c r="H1162" s="30" t="s">
        <v>654</v>
      </c>
      <c r="I1162" s="31">
        <v>5156</v>
      </c>
    </row>
    <row r="1163" spans="6:9">
      <c r="F1163" s="29" t="s">
        <v>10</v>
      </c>
      <c r="G1163" s="30" t="s">
        <v>649</v>
      </c>
      <c r="H1163" s="30" t="s">
        <v>655</v>
      </c>
      <c r="I1163" s="31">
        <v>7128</v>
      </c>
    </row>
    <row r="1164" spans="6:9">
      <c r="F1164" s="29" t="s">
        <v>111</v>
      </c>
      <c r="G1164" s="30" t="s">
        <v>666</v>
      </c>
      <c r="H1164" s="30" t="s">
        <v>677</v>
      </c>
      <c r="I1164" s="31">
        <v>6757</v>
      </c>
    </row>
    <row r="1165" spans="6:9">
      <c r="F1165" s="29" t="s">
        <v>14</v>
      </c>
      <c r="G1165" s="30" t="s">
        <v>649</v>
      </c>
      <c r="H1165" s="30" t="s">
        <v>648</v>
      </c>
      <c r="I1165" s="31">
        <v>4752</v>
      </c>
    </row>
    <row r="1166" spans="6:9">
      <c r="F1166" s="29" t="s">
        <v>10</v>
      </c>
      <c r="G1166" s="30" t="s">
        <v>662</v>
      </c>
      <c r="H1166" s="30" t="s">
        <v>676</v>
      </c>
      <c r="I1166" s="31">
        <v>7682</v>
      </c>
    </row>
    <row r="1167" spans="6:9">
      <c r="F1167" s="29" t="s">
        <v>16</v>
      </c>
      <c r="G1167" s="30" t="s">
        <v>652</v>
      </c>
      <c r="H1167" s="30" t="s">
        <v>656</v>
      </c>
      <c r="I1167" s="31">
        <v>8956</v>
      </c>
    </row>
    <row r="1168" spans="6:9">
      <c r="F1168" s="29" t="s">
        <v>111</v>
      </c>
      <c r="G1168" s="30" t="s">
        <v>660</v>
      </c>
      <c r="H1168" s="30" t="s">
        <v>664</v>
      </c>
      <c r="I1168" s="31">
        <v>4327</v>
      </c>
    </row>
    <row r="1169" spans="6:9">
      <c r="F1169" s="29" t="s">
        <v>14</v>
      </c>
      <c r="G1169" s="30" t="s">
        <v>659</v>
      </c>
      <c r="H1169" s="30" t="s">
        <v>655</v>
      </c>
      <c r="I1169" s="31">
        <v>4760</v>
      </c>
    </row>
    <row r="1170" spans="6:9">
      <c r="F1170" s="29" t="s">
        <v>16</v>
      </c>
      <c r="G1170" s="30" t="s">
        <v>652</v>
      </c>
      <c r="H1170" s="30" t="s">
        <v>656</v>
      </c>
      <c r="I1170" s="31">
        <v>9934</v>
      </c>
    </row>
    <row r="1171" spans="6:9">
      <c r="F1171" s="29" t="s">
        <v>14</v>
      </c>
      <c r="G1171" s="30" t="s">
        <v>657</v>
      </c>
      <c r="H1171" s="30" t="s">
        <v>658</v>
      </c>
      <c r="I1171" s="31">
        <v>5310</v>
      </c>
    </row>
    <row r="1172" spans="6:9">
      <c r="F1172" s="29" t="s">
        <v>14</v>
      </c>
      <c r="G1172" s="30" t="s">
        <v>662</v>
      </c>
      <c r="H1172" s="30" t="s">
        <v>679</v>
      </c>
      <c r="I1172" s="31">
        <v>6653</v>
      </c>
    </row>
    <row r="1173" spans="6:9">
      <c r="F1173" s="29" t="s">
        <v>14</v>
      </c>
      <c r="G1173" s="30" t="s">
        <v>659</v>
      </c>
      <c r="H1173" s="30" t="s">
        <v>655</v>
      </c>
      <c r="I1173" s="31">
        <v>4964</v>
      </c>
    </row>
    <row r="1174" spans="6:9">
      <c r="F1174" s="29" t="s">
        <v>111</v>
      </c>
      <c r="G1174" s="30" t="s">
        <v>671</v>
      </c>
      <c r="H1174" s="30" t="s">
        <v>675</v>
      </c>
      <c r="I1174" s="31">
        <v>4185</v>
      </c>
    </row>
    <row r="1175" spans="6:9">
      <c r="F1175" s="29" t="s">
        <v>111</v>
      </c>
      <c r="G1175" s="30" t="s">
        <v>670</v>
      </c>
      <c r="H1175" s="30" t="s">
        <v>674</v>
      </c>
      <c r="I1175" s="31">
        <v>3297</v>
      </c>
    </row>
    <row r="1176" spans="6:9">
      <c r="F1176" s="29" t="s">
        <v>10</v>
      </c>
      <c r="G1176" s="30" t="s">
        <v>662</v>
      </c>
      <c r="H1176" s="30" t="s">
        <v>679</v>
      </c>
      <c r="I1176" s="31">
        <v>2600</v>
      </c>
    </row>
    <row r="1177" spans="6:9">
      <c r="F1177" s="29" t="s">
        <v>16</v>
      </c>
      <c r="G1177" s="30" t="s">
        <v>660</v>
      </c>
      <c r="H1177" s="30" t="s">
        <v>665</v>
      </c>
      <c r="I1177" s="31">
        <v>7398</v>
      </c>
    </row>
    <row r="1178" spans="6:9">
      <c r="F1178" s="29" t="s">
        <v>14</v>
      </c>
      <c r="G1178" s="30" t="s">
        <v>657</v>
      </c>
      <c r="H1178" s="30" t="s">
        <v>678</v>
      </c>
      <c r="I1178" s="31">
        <v>506</v>
      </c>
    </row>
    <row r="1179" spans="6:9">
      <c r="F1179" s="29" t="s">
        <v>10</v>
      </c>
      <c r="G1179" s="30" t="s">
        <v>649</v>
      </c>
      <c r="H1179" s="30" t="s">
        <v>651</v>
      </c>
      <c r="I1179" s="31">
        <v>9165</v>
      </c>
    </row>
    <row r="1180" spans="6:9">
      <c r="F1180" s="29" t="s">
        <v>10</v>
      </c>
      <c r="G1180" s="30" t="s">
        <v>657</v>
      </c>
      <c r="H1180" s="30" t="s">
        <v>678</v>
      </c>
      <c r="I1180" s="31">
        <v>8218</v>
      </c>
    </row>
    <row r="1181" spans="6:9">
      <c r="F1181" s="29" t="s">
        <v>111</v>
      </c>
      <c r="G1181" s="30" t="s">
        <v>671</v>
      </c>
      <c r="H1181" s="30" t="s">
        <v>672</v>
      </c>
      <c r="I1181" s="31">
        <v>9129</v>
      </c>
    </row>
    <row r="1182" spans="6:9">
      <c r="F1182" s="29" t="s">
        <v>10</v>
      </c>
      <c r="G1182" s="30" t="s">
        <v>659</v>
      </c>
      <c r="H1182" s="30" t="s">
        <v>655</v>
      </c>
      <c r="I1182" s="31">
        <v>442</v>
      </c>
    </row>
    <row r="1183" spans="6:9">
      <c r="F1183" s="29" t="s">
        <v>16</v>
      </c>
      <c r="G1183" s="30" t="s">
        <v>649</v>
      </c>
      <c r="H1183" s="30" t="s">
        <v>648</v>
      </c>
      <c r="I1183" s="31">
        <v>5693</v>
      </c>
    </row>
    <row r="1184" spans="6:9">
      <c r="F1184" s="29" t="s">
        <v>16</v>
      </c>
      <c r="G1184" s="30" t="s">
        <v>659</v>
      </c>
      <c r="H1184" s="30" t="s">
        <v>661</v>
      </c>
      <c r="I1184" s="31">
        <v>9210</v>
      </c>
    </row>
    <row r="1185" spans="6:9">
      <c r="F1185" s="29" t="s">
        <v>16</v>
      </c>
      <c r="G1185" s="30" t="s">
        <v>662</v>
      </c>
      <c r="H1185" s="30" t="s">
        <v>679</v>
      </c>
      <c r="I1185" s="31">
        <v>2081</v>
      </c>
    </row>
    <row r="1186" spans="6:9">
      <c r="F1186" s="29" t="s">
        <v>10</v>
      </c>
      <c r="G1186" s="30" t="s">
        <v>660</v>
      </c>
      <c r="H1186" s="30" t="s">
        <v>668</v>
      </c>
      <c r="I1186" s="31">
        <v>4987</v>
      </c>
    </row>
    <row r="1187" spans="6:9">
      <c r="F1187" s="29" t="s">
        <v>111</v>
      </c>
      <c r="G1187" s="30" t="s">
        <v>652</v>
      </c>
      <c r="H1187" s="30" t="s">
        <v>653</v>
      </c>
      <c r="I1187" s="31">
        <v>6487</v>
      </c>
    </row>
    <row r="1188" spans="6:9">
      <c r="F1188" s="29" t="s">
        <v>10</v>
      </c>
      <c r="G1188" s="30" t="s">
        <v>662</v>
      </c>
      <c r="H1188" s="30" t="s">
        <v>663</v>
      </c>
      <c r="I1188" s="31">
        <v>9679</v>
      </c>
    </row>
    <row r="1189" spans="6:9">
      <c r="F1189" s="29" t="s">
        <v>16</v>
      </c>
      <c r="G1189" s="30" t="s">
        <v>670</v>
      </c>
      <c r="H1189" s="30" t="s">
        <v>661</v>
      </c>
      <c r="I1189" s="31">
        <v>3797</v>
      </c>
    </row>
    <row r="1190" spans="6:9">
      <c r="F1190" s="29" t="s">
        <v>10</v>
      </c>
      <c r="G1190" s="30" t="s">
        <v>660</v>
      </c>
      <c r="H1190" s="30" t="s">
        <v>661</v>
      </c>
      <c r="I1190" s="31">
        <v>4304</v>
      </c>
    </row>
    <row r="1191" spans="6:9">
      <c r="F1191" s="29" t="s">
        <v>16</v>
      </c>
      <c r="G1191" s="30" t="s">
        <v>660</v>
      </c>
      <c r="H1191" s="30" t="s">
        <v>668</v>
      </c>
      <c r="I1191" s="31">
        <v>960</v>
      </c>
    </row>
    <row r="1192" spans="6:9">
      <c r="F1192" s="29" t="s">
        <v>14</v>
      </c>
      <c r="G1192" s="30" t="s">
        <v>671</v>
      </c>
      <c r="H1192" s="30" t="s">
        <v>675</v>
      </c>
      <c r="I1192" s="31">
        <v>1739</v>
      </c>
    </row>
    <row r="1193" spans="6:9">
      <c r="F1193" s="29" t="s">
        <v>14</v>
      </c>
      <c r="G1193" s="30" t="s">
        <v>662</v>
      </c>
      <c r="H1193" s="30" t="s">
        <v>679</v>
      </c>
      <c r="I1193" s="31">
        <v>7943</v>
      </c>
    </row>
    <row r="1194" spans="6:9">
      <c r="F1194" s="29" t="s">
        <v>16</v>
      </c>
      <c r="G1194" s="30" t="s">
        <v>660</v>
      </c>
      <c r="H1194" s="30" t="s">
        <v>665</v>
      </c>
      <c r="I1194" s="31">
        <v>9815</v>
      </c>
    </row>
    <row r="1195" spans="6:9">
      <c r="F1195" s="29" t="s">
        <v>111</v>
      </c>
      <c r="G1195" s="30" t="s">
        <v>659</v>
      </c>
      <c r="H1195" s="30" t="s">
        <v>654</v>
      </c>
      <c r="I1195" s="31">
        <v>9452</v>
      </c>
    </row>
    <row r="1196" spans="6:9">
      <c r="F1196" s="29" t="s">
        <v>10</v>
      </c>
      <c r="G1196" s="30" t="s">
        <v>649</v>
      </c>
      <c r="H1196" s="30" t="s">
        <v>648</v>
      </c>
      <c r="I1196" s="31">
        <v>1247</v>
      </c>
    </row>
    <row r="1197" spans="6:9">
      <c r="F1197" s="29" t="s">
        <v>111</v>
      </c>
      <c r="G1197" s="30" t="s">
        <v>652</v>
      </c>
      <c r="H1197" s="30" t="s">
        <v>654</v>
      </c>
      <c r="I1197" s="31">
        <v>6491</v>
      </c>
    </row>
    <row r="1198" spans="6:9">
      <c r="F1198" s="29" t="s">
        <v>14</v>
      </c>
      <c r="G1198" s="30" t="s">
        <v>657</v>
      </c>
      <c r="H1198" s="30" t="s">
        <v>680</v>
      </c>
      <c r="I1198" s="31">
        <v>8960</v>
      </c>
    </row>
    <row r="1199" spans="6:9">
      <c r="F1199" s="29" t="s">
        <v>16</v>
      </c>
      <c r="G1199" s="30" t="s">
        <v>649</v>
      </c>
      <c r="H1199" s="30" t="s">
        <v>648</v>
      </c>
      <c r="I1199" s="31">
        <v>2743</v>
      </c>
    </row>
    <row r="1200" spans="6:9">
      <c r="F1200" s="29" t="s">
        <v>14</v>
      </c>
      <c r="G1200" s="30" t="s">
        <v>649</v>
      </c>
      <c r="H1200" s="30" t="s">
        <v>651</v>
      </c>
      <c r="I1200" s="31">
        <v>6935</v>
      </c>
    </row>
    <row r="1201" spans="6:9">
      <c r="F1201" s="29" t="s">
        <v>111</v>
      </c>
      <c r="G1201" s="30" t="s">
        <v>657</v>
      </c>
      <c r="H1201" s="30" t="s">
        <v>680</v>
      </c>
      <c r="I1201" s="31">
        <v>6922</v>
      </c>
    </row>
    <row r="1202" spans="6:9">
      <c r="F1202" s="29" t="s">
        <v>10</v>
      </c>
      <c r="G1202" s="30" t="s">
        <v>666</v>
      </c>
      <c r="H1202" s="30" t="s">
        <v>673</v>
      </c>
      <c r="I1202" s="31">
        <v>7487</v>
      </c>
    </row>
    <row r="1203" spans="6:9">
      <c r="F1203" s="29" t="s">
        <v>16</v>
      </c>
      <c r="G1203" s="30" t="s">
        <v>657</v>
      </c>
      <c r="H1203" s="30" t="s">
        <v>680</v>
      </c>
      <c r="I1203" s="31">
        <v>4025</v>
      </c>
    </row>
    <row r="1204" spans="6:9">
      <c r="F1204" s="29" t="s">
        <v>10</v>
      </c>
      <c r="G1204" s="30" t="s">
        <v>652</v>
      </c>
      <c r="H1204" s="30" t="s">
        <v>656</v>
      </c>
      <c r="I1204" s="31">
        <v>3880</v>
      </c>
    </row>
    <row r="1205" spans="6:9">
      <c r="F1205" s="29" t="s">
        <v>111</v>
      </c>
      <c r="G1205" s="30" t="s">
        <v>660</v>
      </c>
      <c r="H1205" s="30" t="s">
        <v>665</v>
      </c>
      <c r="I1205" s="31">
        <v>4790</v>
      </c>
    </row>
    <row r="1206" spans="6:9">
      <c r="F1206" s="29" t="s">
        <v>16</v>
      </c>
      <c r="G1206" s="30" t="s">
        <v>649</v>
      </c>
      <c r="H1206" s="30" t="s">
        <v>648</v>
      </c>
      <c r="I1206" s="31">
        <v>1771</v>
      </c>
    </row>
    <row r="1207" spans="6:9">
      <c r="F1207" s="29" t="s">
        <v>111</v>
      </c>
      <c r="G1207" s="30" t="s">
        <v>657</v>
      </c>
      <c r="H1207" s="30" t="s">
        <v>678</v>
      </c>
      <c r="I1207" s="31">
        <v>879</v>
      </c>
    </row>
    <row r="1208" spans="6:9">
      <c r="F1208" s="29" t="s">
        <v>111</v>
      </c>
      <c r="G1208" s="30" t="s">
        <v>659</v>
      </c>
      <c r="H1208" s="30" t="s">
        <v>654</v>
      </c>
      <c r="I1208" s="31">
        <v>2622</v>
      </c>
    </row>
    <row r="1209" spans="6:9">
      <c r="F1209" s="29" t="s">
        <v>16</v>
      </c>
      <c r="G1209" s="30" t="s">
        <v>670</v>
      </c>
      <c r="H1209" s="30" t="s">
        <v>661</v>
      </c>
      <c r="I1209" s="31">
        <v>3642</v>
      </c>
    </row>
    <row r="1210" spans="6:9">
      <c r="F1210" s="29" t="s">
        <v>14</v>
      </c>
      <c r="G1210" s="30" t="s">
        <v>660</v>
      </c>
      <c r="H1210" s="30" t="s">
        <v>668</v>
      </c>
      <c r="I1210" s="31">
        <v>3830</v>
      </c>
    </row>
    <row r="1211" spans="6:9">
      <c r="F1211" s="29" t="s">
        <v>16</v>
      </c>
      <c r="G1211" s="30" t="s">
        <v>659</v>
      </c>
      <c r="H1211" s="30" t="s">
        <v>654</v>
      </c>
      <c r="I1211" s="31">
        <v>3834</v>
      </c>
    </row>
    <row r="1212" spans="6:9">
      <c r="F1212" s="29" t="s">
        <v>111</v>
      </c>
      <c r="G1212" s="30" t="s">
        <v>657</v>
      </c>
      <c r="H1212" s="30" t="s">
        <v>680</v>
      </c>
      <c r="I1212" s="31">
        <v>6040</v>
      </c>
    </row>
    <row r="1213" spans="6:9">
      <c r="F1213" s="29" t="s">
        <v>16</v>
      </c>
      <c r="G1213" s="30" t="s">
        <v>657</v>
      </c>
      <c r="H1213" s="30" t="s">
        <v>680</v>
      </c>
      <c r="I1213" s="31">
        <v>654</v>
      </c>
    </row>
    <row r="1214" spans="6:9">
      <c r="F1214" s="29" t="s">
        <v>16</v>
      </c>
      <c r="G1214" s="30" t="s">
        <v>662</v>
      </c>
      <c r="H1214" s="30" t="s">
        <v>676</v>
      </c>
      <c r="I1214" s="31">
        <v>3225</v>
      </c>
    </row>
    <row r="1215" spans="6:9">
      <c r="F1215" s="29" t="s">
        <v>10</v>
      </c>
      <c r="G1215" s="30" t="s">
        <v>670</v>
      </c>
      <c r="H1215" s="30" t="s">
        <v>661</v>
      </c>
      <c r="I1215" s="31">
        <v>4429</v>
      </c>
    </row>
    <row r="1216" spans="6:9">
      <c r="F1216" s="29" t="s">
        <v>14</v>
      </c>
      <c r="G1216" s="30" t="s">
        <v>652</v>
      </c>
      <c r="H1216" s="30" t="s">
        <v>654</v>
      </c>
      <c r="I1216" s="31">
        <v>9720</v>
      </c>
    </row>
    <row r="1217" spans="6:9">
      <c r="F1217" s="29" t="s">
        <v>16</v>
      </c>
      <c r="G1217" s="30" t="s">
        <v>657</v>
      </c>
      <c r="H1217" s="30" t="s">
        <v>678</v>
      </c>
      <c r="I1217" s="31">
        <v>5129</v>
      </c>
    </row>
    <row r="1218" spans="6:9">
      <c r="F1218" s="29" t="s">
        <v>14</v>
      </c>
      <c r="G1218" s="30" t="s">
        <v>660</v>
      </c>
      <c r="H1218" s="30" t="s">
        <v>661</v>
      </c>
      <c r="I1218" s="31">
        <v>6218</v>
      </c>
    </row>
    <row r="1219" spans="6:9">
      <c r="F1219" s="29" t="s">
        <v>111</v>
      </c>
      <c r="G1219" s="30" t="s">
        <v>657</v>
      </c>
      <c r="H1219" s="30" t="s">
        <v>681</v>
      </c>
      <c r="I1219" s="31">
        <v>7393</v>
      </c>
    </row>
    <row r="1220" spans="6:9">
      <c r="F1220" s="29" t="s">
        <v>111</v>
      </c>
      <c r="G1220" s="30" t="s">
        <v>662</v>
      </c>
      <c r="H1220" s="30" t="s">
        <v>663</v>
      </c>
      <c r="I1220" s="31">
        <v>6139</v>
      </c>
    </row>
    <row r="1221" spans="6:9">
      <c r="F1221" s="29" t="s">
        <v>10</v>
      </c>
      <c r="G1221" s="30" t="s">
        <v>649</v>
      </c>
      <c r="H1221" s="30" t="s">
        <v>651</v>
      </c>
      <c r="I1221" s="31">
        <v>9205</v>
      </c>
    </row>
    <row r="1222" spans="6:9">
      <c r="F1222" s="29" t="s">
        <v>16</v>
      </c>
      <c r="G1222" s="30" t="s">
        <v>660</v>
      </c>
      <c r="H1222" s="30" t="s">
        <v>664</v>
      </c>
      <c r="I1222" s="31">
        <v>3557</v>
      </c>
    </row>
    <row r="1223" spans="6:9">
      <c r="F1223" s="29" t="s">
        <v>111</v>
      </c>
      <c r="G1223" s="30" t="s">
        <v>670</v>
      </c>
      <c r="H1223" s="30" t="s">
        <v>664</v>
      </c>
      <c r="I1223" s="31">
        <v>8332</v>
      </c>
    </row>
    <row r="1224" spans="6:9">
      <c r="F1224" s="29" t="s">
        <v>16</v>
      </c>
      <c r="G1224" s="30" t="s">
        <v>666</v>
      </c>
      <c r="H1224" s="30" t="s">
        <v>677</v>
      </c>
      <c r="I1224" s="31">
        <v>3369</v>
      </c>
    </row>
    <row r="1225" spans="6:9">
      <c r="F1225" s="29" t="s">
        <v>14</v>
      </c>
      <c r="G1225" s="30" t="s">
        <v>659</v>
      </c>
      <c r="H1225" s="30" t="s">
        <v>654</v>
      </c>
      <c r="I1225" s="31">
        <v>5445</v>
      </c>
    </row>
    <row r="1226" spans="6:9">
      <c r="F1226" s="29" t="s">
        <v>10</v>
      </c>
      <c r="G1226" s="30" t="s">
        <v>666</v>
      </c>
      <c r="H1226" s="30" t="s">
        <v>677</v>
      </c>
      <c r="I1226" s="31">
        <v>9354</v>
      </c>
    </row>
    <row r="1227" spans="6:9">
      <c r="F1227" s="29" t="s">
        <v>16</v>
      </c>
      <c r="G1227" s="30" t="s">
        <v>657</v>
      </c>
      <c r="H1227" s="30" t="s">
        <v>658</v>
      </c>
      <c r="I1227" s="31">
        <v>9708</v>
      </c>
    </row>
    <row r="1228" spans="6:9">
      <c r="F1228" s="29" t="s">
        <v>16</v>
      </c>
      <c r="G1228" s="30" t="s">
        <v>670</v>
      </c>
      <c r="H1228" s="30" t="s">
        <v>669</v>
      </c>
      <c r="I1228" s="31">
        <v>7066</v>
      </c>
    </row>
    <row r="1229" spans="6:9">
      <c r="F1229" s="29" t="s">
        <v>16</v>
      </c>
      <c r="G1229" s="30" t="s">
        <v>659</v>
      </c>
      <c r="H1229" s="30" t="s">
        <v>654</v>
      </c>
      <c r="I1229" s="31">
        <v>1999</v>
      </c>
    </row>
    <row r="1230" spans="6:9">
      <c r="F1230" s="29" t="s">
        <v>111</v>
      </c>
      <c r="G1230" s="30" t="s">
        <v>657</v>
      </c>
      <c r="H1230" s="30" t="s">
        <v>681</v>
      </c>
      <c r="I1230" s="31">
        <v>6483</v>
      </c>
    </row>
    <row r="1231" spans="6:9">
      <c r="F1231" s="29" t="s">
        <v>16</v>
      </c>
      <c r="G1231" s="30" t="s">
        <v>666</v>
      </c>
      <c r="H1231" s="30" t="s">
        <v>677</v>
      </c>
      <c r="I1231" s="31">
        <v>2373</v>
      </c>
    </row>
    <row r="1232" spans="6:9">
      <c r="F1232" s="29" t="s">
        <v>14</v>
      </c>
      <c r="G1232" s="30" t="s">
        <v>662</v>
      </c>
      <c r="H1232" s="30" t="s">
        <v>679</v>
      </c>
      <c r="I1232" s="31">
        <v>3840</v>
      </c>
    </row>
    <row r="1233" spans="6:9">
      <c r="F1233" s="29" t="s">
        <v>14</v>
      </c>
      <c r="G1233" s="30" t="s">
        <v>649</v>
      </c>
      <c r="H1233" s="30" t="s">
        <v>651</v>
      </c>
      <c r="I1233" s="31">
        <v>5669</v>
      </c>
    </row>
    <row r="1234" spans="6:9">
      <c r="F1234" s="29" t="s">
        <v>16</v>
      </c>
      <c r="G1234" s="30" t="s">
        <v>662</v>
      </c>
      <c r="H1234" s="30" t="s">
        <v>679</v>
      </c>
      <c r="I1234" s="31">
        <v>9254</v>
      </c>
    </row>
    <row r="1235" spans="6:9">
      <c r="F1235" s="29" t="s">
        <v>14</v>
      </c>
      <c r="G1235" s="30" t="s">
        <v>660</v>
      </c>
      <c r="H1235" s="30" t="s">
        <v>664</v>
      </c>
      <c r="I1235" s="31">
        <v>909</v>
      </c>
    </row>
    <row r="1236" spans="6:9">
      <c r="F1236" s="29" t="s">
        <v>14</v>
      </c>
      <c r="G1236" s="30" t="s">
        <v>670</v>
      </c>
      <c r="H1236" s="30" t="s">
        <v>674</v>
      </c>
      <c r="I1236" s="31">
        <v>9073</v>
      </c>
    </row>
    <row r="1237" spans="6:9">
      <c r="F1237" s="29" t="s">
        <v>111</v>
      </c>
      <c r="G1237" s="30" t="s">
        <v>657</v>
      </c>
      <c r="H1237" s="30" t="s">
        <v>681</v>
      </c>
      <c r="I1237" s="31">
        <v>2928</v>
      </c>
    </row>
    <row r="1238" spans="6:9">
      <c r="F1238" s="29" t="s">
        <v>16</v>
      </c>
      <c r="G1238" s="30" t="s">
        <v>670</v>
      </c>
      <c r="H1238" s="30" t="s">
        <v>664</v>
      </c>
      <c r="I1238" s="31">
        <v>723</v>
      </c>
    </row>
    <row r="1239" spans="6:9">
      <c r="F1239" s="29" t="s">
        <v>14</v>
      </c>
      <c r="G1239" s="30" t="s">
        <v>671</v>
      </c>
      <c r="H1239" s="30" t="s">
        <v>672</v>
      </c>
      <c r="I1239" s="31">
        <v>3742</v>
      </c>
    </row>
    <row r="1240" spans="6:9">
      <c r="F1240" s="29" t="s">
        <v>14</v>
      </c>
      <c r="G1240" s="30" t="s">
        <v>671</v>
      </c>
      <c r="H1240" s="30" t="s">
        <v>672</v>
      </c>
      <c r="I1240" s="31">
        <v>3025</v>
      </c>
    </row>
    <row r="1241" spans="6:9">
      <c r="F1241" s="29" t="s">
        <v>10</v>
      </c>
      <c r="G1241" s="30" t="s">
        <v>652</v>
      </c>
      <c r="H1241" s="30" t="s">
        <v>654</v>
      </c>
      <c r="I1241" s="31">
        <v>5483</v>
      </c>
    </row>
    <row r="1242" spans="6:9">
      <c r="F1242" s="29" t="s">
        <v>10</v>
      </c>
      <c r="G1242" s="30" t="s">
        <v>671</v>
      </c>
      <c r="H1242" s="30" t="s">
        <v>674</v>
      </c>
      <c r="I1242" s="31">
        <v>4986</v>
      </c>
    </row>
    <row r="1243" spans="6:9">
      <c r="F1243" s="29" t="s">
        <v>111</v>
      </c>
      <c r="G1243" s="30" t="s">
        <v>670</v>
      </c>
      <c r="H1243" s="30" t="s">
        <v>669</v>
      </c>
      <c r="I1243" s="31">
        <v>6281</v>
      </c>
    </row>
    <row r="1244" spans="6:9">
      <c r="F1244" s="29" t="s">
        <v>10</v>
      </c>
      <c r="G1244" s="30" t="s">
        <v>660</v>
      </c>
      <c r="H1244" s="30" t="s">
        <v>668</v>
      </c>
      <c r="I1244" s="31">
        <v>1094</v>
      </c>
    </row>
    <row r="1245" spans="6:9">
      <c r="F1245" s="29" t="s">
        <v>10</v>
      </c>
      <c r="G1245" s="30" t="s">
        <v>657</v>
      </c>
      <c r="H1245" s="30" t="s">
        <v>658</v>
      </c>
      <c r="I1245" s="31">
        <v>1755</v>
      </c>
    </row>
    <row r="1246" spans="6:9">
      <c r="F1246" s="29" t="s">
        <v>111</v>
      </c>
      <c r="G1246" s="30" t="s">
        <v>670</v>
      </c>
      <c r="H1246" s="30" t="s">
        <v>664</v>
      </c>
      <c r="I1246" s="31">
        <v>1771</v>
      </c>
    </row>
    <row r="1247" spans="6:9">
      <c r="F1247" s="29" t="s">
        <v>111</v>
      </c>
      <c r="G1247" s="30" t="s">
        <v>662</v>
      </c>
      <c r="H1247" s="30" t="s">
        <v>663</v>
      </c>
      <c r="I1247" s="31">
        <v>8020</v>
      </c>
    </row>
    <row r="1248" spans="6:9">
      <c r="F1248" s="29" t="s">
        <v>10</v>
      </c>
      <c r="G1248" s="30" t="s">
        <v>652</v>
      </c>
      <c r="H1248" s="30" t="s">
        <v>656</v>
      </c>
      <c r="I1248" s="31">
        <v>5456</v>
      </c>
    </row>
    <row r="1249" spans="6:9">
      <c r="F1249" s="29" t="s">
        <v>16</v>
      </c>
      <c r="G1249" s="30" t="s">
        <v>657</v>
      </c>
      <c r="H1249" s="30" t="s">
        <v>678</v>
      </c>
      <c r="I1249" s="31">
        <v>9517</v>
      </c>
    </row>
    <row r="1250" spans="6:9">
      <c r="F1250" s="29" t="s">
        <v>14</v>
      </c>
      <c r="G1250" s="30" t="s">
        <v>657</v>
      </c>
      <c r="H1250" s="30" t="s">
        <v>680</v>
      </c>
      <c r="I1250" s="31">
        <v>2270</v>
      </c>
    </row>
    <row r="1251" spans="6:9">
      <c r="F1251" s="29" t="s">
        <v>14</v>
      </c>
      <c r="G1251" s="30" t="s">
        <v>659</v>
      </c>
      <c r="H1251" s="30" t="s">
        <v>654</v>
      </c>
      <c r="I1251" s="31">
        <v>4197</v>
      </c>
    </row>
    <row r="1252" spans="6:9">
      <c r="F1252" s="29" t="s">
        <v>10</v>
      </c>
      <c r="G1252" s="30" t="s">
        <v>662</v>
      </c>
      <c r="H1252" s="30" t="s">
        <v>663</v>
      </c>
      <c r="I1252" s="31">
        <v>948</v>
      </c>
    </row>
    <row r="1253" spans="6:9">
      <c r="F1253" s="29" t="s">
        <v>111</v>
      </c>
      <c r="G1253" s="30" t="s">
        <v>649</v>
      </c>
      <c r="H1253" s="30" t="s">
        <v>651</v>
      </c>
      <c r="I1253" s="31">
        <v>5269</v>
      </c>
    </row>
    <row r="1254" spans="6:9">
      <c r="F1254" s="29" t="s">
        <v>111</v>
      </c>
      <c r="G1254" s="30" t="s">
        <v>660</v>
      </c>
      <c r="H1254" s="30" t="s">
        <v>665</v>
      </c>
      <c r="I1254" s="31">
        <v>6987</v>
      </c>
    </row>
    <row r="1255" spans="6:9">
      <c r="F1255" s="29" t="s">
        <v>10</v>
      </c>
      <c r="G1255" s="30" t="s">
        <v>659</v>
      </c>
      <c r="H1255" s="30" t="s">
        <v>655</v>
      </c>
      <c r="I1255" s="31">
        <v>6721</v>
      </c>
    </row>
    <row r="1256" spans="6:9">
      <c r="F1256" s="29" t="s">
        <v>10</v>
      </c>
      <c r="G1256" s="30" t="s">
        <v>659</v>
      </c>
      <c r="H1256" s="30" t="s">
        <v>654</v>
      </c>
      <c r="I1256" s="31">
        <v>8722</v>
      </c>
    </row>
    <row r="1257" spans="6:9">
      <c r="F1257" s="29" t="s">
        <v>10</v>
      </c>
      <c r="G1257" s="30" t="s">
        <v>671</v>
      </c>
      <c r="H1257" s="30" t="s">
        <v>674</v>
      </c>
      <c r="I1257" s="31">
        <v>6493</v>
      </c>
    </row>
    <row r="1258" spans="6:9">
      <c r="F1258" s="29" t="s">
        <v>111</v>
      </c>
      <c r="G1258" s="30" t="s">
        <v>649</v>
      </c>
      <c r="H1258" s="30" t="s">
        <v>655</v>
      </c>
      <c r="I1258" s="31">
        <v>857</v>
      </c>
    </row>
    <row r="1259" spans="6:9">
      <c r="F1259" s="29" t="s">
        <v>16</v>
      </c>
      <c r="G1259" s="30" t="s">
        <v>652</v>
      </c>
      <c r="H1259" s="30" t="s">
        <v>654</v>
      </c>
      <c r="I1259" s="31">
        <v>2869</v>
      </c>
    </row>
    <row r="1260" spans="6:9">
      <c r="F1260" s="29" t="s">
        <v>111</v>
      </c>
      <c r="G1260" s="30" t="s">
        <v>657</v>
      </c>
      <c r="H1260" s="30" t="s">
        <v>681</v>
      </c>
      <c r="I1260" s="31">
        <v>1756</v>
      </c>
    </row>
    <row r="1261" spans="6:9">
      <c r="F1261" s="29" t="s">
        <v>10</v>
      </c>
      <c r="G1261" s="30" t="s">
        <v>666</v>
      </c>
      <c r="H1261" s="30" t="s">
        <v>667</v>
      </c>
      <c r="I1261" s="31">
        <v>6118</v>
      </c>
    </row>
    <row r="1262" spans="6:9">
      <c r="F1262" s="29" t="s">
        <v>10</v>
      </c>
      <c r="G1262" s="30" t="s">
        <v>659</v>
      </c>
      <c r="H1262" s="30" t="s">
        <v>655</v>
      </c>
      <c r="I1262" s="31">
        <v>538</v>
      </c>
    </row>
    <row r="1263" spans="6:9">
      <c r="F1263" s="29" t="s">
        <v>111</v>
      </c>
      <c r="G1263" s="30" t="s">
        <v>649</v>
      </c>
      <c r="H1263" s="30" t="s">
        <v>651</v>
      </c>
      <c r="I1263" s="31">
        <v>5997</v>
      </c>
    </row>
    <row r="1264" spans="6:9">
      <c r="F1264" s="29" t="s">
        <v>14</v>
      </c>
      <c r="G1264" s="30" t="s">
        <v>662</v>
      </c>
      <c r="H1264" s="30" t="s">
        <v>663</v>
      </c>
      <c r="I1264" s="31">
        <v>2601</v>
      </c>
    </row>
    <row r="1265" spans="6:9">
      <c r="F1265" s="29" t="s">
        <v>111</v>
      </c>
      <c r="G1265" s="30" t="s">
        <v>652</v>
      </c>
      <c r="H1265" s="30" t="s">
        <v>654</v>
      </c>
      <c r="I1265" s="31">
        <v>5800</v>
      </c>
    </row>
    <row r="1266" spans="6:9">
      <c r="F1266" s="29" t="s">
        <v>14</v>
      </c>
      <c r="G1266" s="30" t="s">
        <v>666</v>
      </c>
      <c r="H1266" s="30" t="s">
        <v>673</v>
      </c>
      <c r="I1266" s="31">
        <v>3501</v>
      </c>
    </row>
    <row r="1267" spans="6:9">
      <c r="F1267" s="29" t="s">
        <v>111</v>
      </c>
      <c r="G1267" s="30" t="s">
        <v>660</v>
      </c>
      <c r="H1267" s="30" t="s">
        <v>668</v>
      </c>
      <c r="I1267" s="31">
        <v>7539</v>
      </c>
    </row>
    <row r="1268" spans="6:9">
      <c r="F1268" s="29" t="s">
        <v>16</v>
      </c>
      <c r="G1268" s="30" t="s">
        <v>662</v>
      </c>
      <c r="H1268" s="30" t="s">
        <v>679</v>
      </c>
      <c r="I1268" s="31">
        <v>5539</v>
      </c>
    </row>
    <row r="1269" spans="6:9">
      <c r="F1269" s="29" t="s">
        <v>10</v>
      </c>
      <c r="G1269" s="30" t="s">
        <v>666</v>
      </c>
      <c r="H1269" s="30" t="s">
        <v>667</v>
      </c>
      <c r="I1269" s="31">
        <v>6125</v>
      </c>
    </row>
    <row r="1270" spans="6:9">
      <c r="F1270" s="29" t="s">
        <v>10</v>
      </c>
      <c r="G1270" s="30" t="s">
        <v>657</v>
      </c>
      <c r="H1270" s="30" t="s">
        <v>681</v>
      </c>
      <c r="I1270" s="31">
        <v>3127</v>
      </c>
    </row>
    <row r="1271" spans="6:9">
      <c r="F1271" s="29" t="s">
        <v>14</v>
      </c>
      <c r="G1271" s="30" t="s">
        <v>659</v>
      </c>
      <c r="H1271" s="30" t="s">
        <v>654</v>
      </c>
      <c r="I1271" s="31">
        <v>1069</v>
      </c>
    </row>
    <row r="1272" spans="6:9">
      <c r="F1272" s="29" t="s">
        <v>10</v>
      </c>
      <c r="G1272" s="30" t="s">
        <v>652</v>
      </c>
      <c r="H1272" s="30" t="s">
        <v>654</v>
      </c>
      <c r="I1272" s="31">
        <v>2451</v>
      </c>
    </row>
    <row r="1273" spans="6:9">
      <c r="F1273" s="29" t="s">
        <v>16</v>
      </c>
      <c r="G1273" s="30" t="s">
        <v>652</v>
      </c>
      <c r="H1273" s="30" t="s">
        <v>654</v>
      </c>
      <c r="I1273" s="31">
        <v>8714</v>
      </c>
    </row>
    <row r="1274" spans="6:9">
      <c r="F1274" s="29" t="s">
        <v>10</v>
      </c>
      <c r="G1274" s="30" t="s">
        <v>670</v>
      </c>
      <c r="H1274" s="30" t="s">
        <v>661</v>
      </c>
      <c r="I1274" s="31">
        <v>5715</v>
      </c>
    </row>
    <row r="1275" spans="6:9">
      <c r="F1275" s="29" t="s">
        <v>14</v>
      </c>
      <c r="G1275" s="30" t="s">
        <v>666</v>
      </c>
      <c r="H1275" s="30" t="s">
        <v>667</v>
      </c>
      <c r="I1275" s="31">
        <v>6812</v>
      </c>
    </row>
    <row r="1276" spans="6:9">
      <c r="F1276" s="29" t="s">
        <v>111</v>
      </c>
      <c r="G1276" s="30" t="s">
        <v>666</v>
      </c>
      <c r="H1276" s="30" t="s">
        <v>677</v>
      </c>
      <c r="I1276" s="31">
        <v>1482</v>
      </c>
    </row>
    <row r="1277" spans="6:9">
      <c r="F1277" s="29" t="s">
        <v>16</v>
      </c>
      <c r="G1277" s="30" t="s">
        <v>659</v>
      </c>
      <c r="H1277" s="30" t="s">
        <v>654</v>
      </c>
      <c r="I1277" s="31">
        <v>1096</v>
      </c>
    </row>
    <row r="1278" spans="6:9">
      <c r="F1278" s="29" t="s">
        <v>16</v>
      </c>
      <c r="G1278" s="30" t="s">
        <v>662</v>
      </c>
      <c r="H1278" s="30" t="s">
        <v>676</v>
      </c>
      <c r="I1278" s="31">
        <v>7468</v>
      </c>
    </row>
    <row r="1279" spans="6:9">
      <c r="F1279" s="29" t="s">
        <v>14</v>
      </c>
      <c r="G1279" s="30" t="s">
        <v>659</v>
      </c>
      <c r="H1279" s="30" t="s">
        <v>654</v>
      </c>
      <c r="I1279" s="31">
        <v>2428</v>
      </c>
    </row>
    <row r="1280" spans="6:9">
      <c r="F1280" s="29" t="s">
        <v>16</v>
      </c>
      <c r="G1280" s="30" t="s">
        <v>670</v>
      </c>
      <c r="H1280" s="30" t="s">
        <v>661</v>
      </c>
      <c r="I1280" s="31">
        <v>6472</v>
      </c>
    </row>
    <row r="1281" spans="6:9">
      <c r="F1281" s="29" t="s">
        <v>10</v>
      </c>
      <c r="G1281" s="30" t="s">
        <v>666</v>
      </c>
      <c r="H1281" s="30" t="s">
        <v>673</v>
      </c>
      <c r="I1281" s="31">
        <v>9641</v>
      </c>
    </row>
    <row r="1282" spans="6:9">
      <c r="F1282" s="29" t="s">
        <v>10</v>
      </c>
      <c r="G1282" s="30" t="s">
        <v>670</v>
      </c>
      <c r="H1282" s="30" t="s">
        <v>674</v>
      </c>
      <c r="I1282" s="31">
        <v>908</v>
      </c>
    </row>
    <row r="1283" spans="6:9">
      <c r="F1283" s="29" t="s">
        <v>16</v>
      </c>
      <c r="G1283" s="30" t="s">
        <v>649</v>
      </c>
      <c r="H1283" s="30" t="s">
        <v>651</v>
      </c>
      <c r="I1283" s="31">
        <v>9495</v>
      </c>
    </row>
    <row r="1284" spans="6:9">
      <c r="F1284" s="29" t="s">
        <v>16</v>
      </c>
      <c r="G1284" s="30" t="s">
        <v>671</v>
      </c>
      <c r="H1284" s="30" t="s">
        <v>675</v>
      </c>
      <c r="I1284" s="31">
        <v>1235</v>
      </c>
    </row>
    <row r="1285" spans="6:9">
      <c r="F1285" s="29" t="s">
        <v>10</v>
      </c>
      <c r="G1285" s="30" t="s">
        <v>649</v>
      </c>
      <c r="H1285" s="30" t="s">
        <v>655</v>
      </c>
      <c r="I1285" s="31">
        <v>6430</v>
      </c>
    </row>
    <row r="1286" spans="6:9">
      <c r="F1286" s="29" t="s">
        <v>16</v>
      </c>
      <c r="G1286" s="30" t="s">
        <v>671</v>
      </c>
      <c r="H1286" s="30" t="s">
        <v>672</v>
      </c>
      <c r="I1286" s="31">
        <v>264</v>
      </c>
    </row>
    <row r="1287" spans="6:9">
      <c r="F1287" s="29" t="s">
        <v>111</v>
      </c>
      <c r="G1287" s="30" t="s">
        <v>662</v>
      </c>
      <c r="H1287" s="30" t="s">
        <v>676</v>
      </c>
      <c r="I1287" s="31">
        <v>5671</v>
      </c>
    </row>
    <row r="1288" spans="6:9">
      <c r="F1288" s="29" t="s">
        <v>16</v>
      </c>
      <c r="G1288" s="30" t="s">
        <v>670</v>
      </c>
      <c r="H1288" s="30" t="s">
        <v>664</v>
      </c>
      <c r="I1288" s="31">
        <v>2135</v>
      </c>
    </row>
    <row r="1289" spans="6:9">
      <c r="F1289" s="29" t="s">
        <v>10</v>
      </c>
      <c r="G1289" s="30" t="s">
        <v>660</v>
      </c>
      <c r="H1289" s="30" t="s">
        <v>665</v>
      </c>
      <c r="I1289" s="31">
        <v>5495</v>
      </c>
    </row>
    <row r="1290" spans="6:9">
      <c r="F1290" s="29" t="s">
        <v>111</v>
      </c>
      <c r="G1290" s="30" t="s">
        <v>671</v>
      </c>
      <c r="H1290" s="30" t="s">
        <v>674</v>
      </c>
      <c r="I1290" s="31">
        <v>383</v>
      </c>
    </row>
    <row r="1291" spans="6:9">
      <c r="F1291" s="29" t="s">
        <v>111</v>
      </c>
      <c r="G1291" s="30" t="s">
        <v>652</v>
      </c>
      <c r="H1291" s="30" t="s">
        <v>656</v>
      </c>
      <c r="I1291" s="31">
        <v>6602</v>
      </c>
    </row>
    <row r="1292" spans="6:9">
      <c r="F1292" s="29" t="s">
        <v>10</v>
      </c>
      <c r="G1292" s="30" t="s">
        <v>671</v>
      </c>
      <c r="H1292" s="30" t="s">
        <v>672</v>
      </c>
      <c r="I1292" s="31">
        <v>9516</v>
      </c>
    </row>
    <row r="1293" spans="6:9">
      <c r="F1293" s="29" t="s">
        <v>10</v>
      </c>
      <c r="G1293" s="30" t="s">
        <v>657</v>
      </c>
      <c r="H1293" s="30" t="s">
        <v>680</v>
      </c>
      <c r="I1293" s="31">
        <v>2149</v>
      </c>
    </row>
    <row r="1294" spans="6:9">
      <c r="F1294" s="29" t="s">
        <v>16</v>
      </c>
      <c r="G1294" s="30" t="s">
        <v>652</v>
      </c>
      <c r="H1294" s="30" t="s">
        <v>654</v>
      </c>
      <c r="I1294" s="31">
        <v>732</v>
      </c>
    </row>
    <row r="1295" spans="6:9">
      <c r="F1295" s="29" t="s">
        <v>14</v>
      </c>
      <c r="G1295" s="30" t="s">
        <v>670</v>
      </c>
      <c r="H1295" s="30" t="s">
        <v>664</v>
      </c>
      <c r="I1295" s="31">
        <v>5553</v>
      </c>
    </row>
    <row r="1296" spans="6:9">
      <c r="F1296" s="29" t="s">
        <v>111</v>
      </c>
      <c r="G1296" s="30" t="s">
        <v>657</v>
      </c>
      <c r="H1296" s="30" t="s">
        <v>658</v>
      </c>
      <c r="I1296" s="31">
        <v>1418</v>
      </c>
    </row>
    <row r="1297" spans="6:9">
      <c r="F1297" s="29" t="s">
        <v>111</v>
      </c>
      <c r="G1297" s="30" t="s">
        <v>671</v>
      </c>
      <c r="H1297" s="30" t="s">
        <v>672</v>
      </c>
      <c r="I1297" s="31">
        <v>4057</v>
      </c>
    </row>
    <row r="1298" spans="6:9">
      <c r="F1298" s="29" t="s">
        <v>14</v>
      </c>
      <c r="G1298" s="30" t="s">
        <v>652</v>
      </c>
      <c r="H1298" s="30" t="s">
        <v>654</v>
      </c>
      <c r="I1298" s="31">
        <v>3748</v>
      </c>
    </row>
    <row r="1299" spans="6:9">
      <c r="F1299" s="29" t="s">
        <v>14</v>
      </c>
      <c r="G1299" s="30" t="s">
        <v>652</v>
      </c>
      <c r="H1299" s="30" t="s">
        <v>654</v>
      </c>
      <c r="I1299" s="31">
        <v>8560</v>
      </c>
    </row>
    <row r="1300" spans="6:9">
      <c r="F1300" s="29" t="s">
        <v>14</v>
      </c>
      <c r="G1300" s="30" t="s">
        <v>652</v>
      </c>
      <c r="H1300" s="30" t="s">
        <v>654</v>
      </c>
      <c r="I1300" s="31">
        <v>3652</v>
      </c>
    </row>
    <row r="1301" spans="6:9">
      <c r="F1301" s="29" t="s">
        <v>14</v>
      </c>
      <c r="G1301" s="30" t="s">
        <v>660</v>
      </c>
      <c r="H1301" s="30" t="s">
        <v>664</v>
      </c>
      <c r="I1301" s="31">
        <v>5347</v>
      </c>
    </row>
    <row r="1302" spans="6:9">
      <c r="F1302" s="29" t="s">
        <v>16</v>
      </c>
      <c r="G1302" s="30" t="s">
        <v>649</v>
      </c>
      <c r="H1302" s="30" t="s">
        <v>651</v>
      </c>
      <c r="I1302" s="31">
        <v>8259</v>
      </c>
    </row>
    <row r="1303" spans="6:9">
      <c r="F1303" s="29" t="s">
        <v>14</v>
      </c>
      <c r="G1303" s="30" t="s">
        <v>671</v>
      </c>
      <c r="H1303" s="30" t="s">
        <v>672</v>
      </c>
      <c r="I1303" s="31">
        <v>9570</v>
      </c>
    </row>
    <row r="1304" spans="6:9">
      <c r="F1304" s="29" t="s">
        <v>14</v>
      </c>
      <c r="G1304" s="30" t="s">
        <v>657</v>
      </c>
      <c r="H1304" s="30" t="s">
        <v>681</v>
      </c>
      <c r="I1304" s="31">
        <v>9925</v>
      </c>
    </row>
    <row r="1305" spans="6:9">
      <c r="F1305" s="29" t="s">
        <v>14</v>
      </c>
      <c r="G1305" s="30" t="s">
        <v>670</v>
      </c>
      <c r="H1305" s="30" t="s">
        <v>661</v>
      </c>
      <c r="I1305" s="31">
        <v>6514</v>
      </c>
    </row>
    <row r="1306" spans="6:9">
      <c r="F1306" s="29" t="s">
        <v>111</v>
      </c>
      <c r="G1306" s="30" t="s">
        <v>657</v>
      </c>
      <c r="H1306" s="30" t="s">
        <v>680</v>
      </c>
      <c r="I1306" s="31">
        <v>2200</v>
      </c>
    </row>
    <row r="1307" spans="6:9">
      <c r="F1307" s="29" t="s">
        <v>16</v>
      </c>
      <c r="G1307" s="30" t="s">
        <v>659</v>
      </c>
      <c r="H1307" s="30" t="s">
        <v>661</v>
      </c>
      <c r="I1307" s="31">
        <v>1837</v>
      </c>
    </row>
    <row r="1308" spans="6:9">
      <c r="F1308" s="29" t="s">
        <v>16</v>
      </c>
      <c r="G1308" s="30" t="s">
        <v>652</v>
      </c>
      <c r="H1308" s="30" t="s">
        <v>653</v>
      </c>
      <c r="I1308" s="31">
        <v>6310</v>
      </c>
    </row>
    <row r="1309" spans="6:9">
      <c r="F1309" s="29" t="s">
        <v>14</v>
      </c>
      <c r="G1309" s="30" t="s">
        <v>666</v>
      </c>
      <c r="H1309" s="30" t="s">
        <v>673</v>
      </c>
      <c r="I1309" s="31">
        <v>5926</v>
      </c>
    </row>
    <row r="1310" spans="6:9">
      <c r="F1310" s="29" t="s">
        <v>111</v>
      </c>
      <c r="G1310" s="30" t="s">
        <v>649</v>
      </c>
      <c r="H1310" s="30" t="s">
        <v>648</v>
      </c>
      <c r="I1310" s="31">
        <v>9642</v>
      </c>
    </row>
    <row r="1311" spans="6:9">
      <c r="F1311" s="29" t="s">
        <v>16</v>
      </c>
      <c r="G1311" s="30" t="s">
        <v>649</v>
      </c>
      <c r="H1311" s="30" t="s">
        <v>648</v>
      </c>
      <c r="I1311" s="31">
        <v>9902</v>
      </c>
    </row>
    <row r="1312" spans="6:9">
      <c r="F1312" s="29" t="s">
        <v>16</v>
      </c>
      <c r="G1312" s="30" t="s">
        <v>660</v>
      </c>
      <c r="H1312" s="30" t="s">
        <v>661</v>
      </c>
      <c r="I1312" s="31">
        <v>1979</v>
      </c>
    </row>
    <row r="1313" spans="6:9">
      <c r="F1313" s="29" t="s">
        <v>111</v>
      </c>
      <c r="G1313" s="30" t="s">
        <v>659</v>
      </c>
      <c r="H1313" s="30" t="s">
        <v>655</v>
      </c>
      <c r="I1313" s="31">
        <v>8995</v>
      </c>
    </row>
    <row r="1314" spans="6:9">
      <c r="F1314" s="29" t="s">
        <v>16</v>
      </c>
      <c r="G1314" s="30" t="s">
        <v>649</v>
      </c>
      <c r="H1314" s="30" t="s">
        <v>655</v>
      </c>
      <c r="I1314" s="31">
        <v>4073</v>
      </c>
    </row>
    <row r="1315" spans="6:9">
      <c r="F1315" s="29" t="s">
        <v>10</v>
      </c>
      <c r="G1315" s="30" t="s">
        <v>662</v>
      </c>
      <c r="H1315" s="30" t="s">
        <v>679</v>
      </c>
      <c r="I1315" s="31">
        <v>7853</v>
      </c>
    </row>
    <row r="1316" spans="6:9">
      <c r="F1316" s="29" t="s">
        <v>111</v>
      </c>
      <c r="G1316" s="30" t="s">
        <v>662</v>
      </c>
      <c r="H1316" s="30" t="s">
        <v>679</v>
      </c>
      <c r="I1316" s="31">
        <v>251</v>
      </c>
    </row>
    <row r="1317" spans="6:9">
      <c r="F1317" s="29" t="s">
        <v>111</v>
      </c>
      <c r="G1317" s="30" t="s">
        <v>670</v>
      </c>
      <c r="H1317" s="30" t="s">
        <v>664</v>
      </c>
      <c r="I1317" s="31">
        <v>2752</v>
      </c>
    </row>
    <row r="1318" spans="6:9">
      <c r="F1318" s="29" t="s">
        <v>14</v>
      </c>
      <c r="G1318" s="30" t="s">
        <v>660</v>
      </c>
      <c r="H1318" s="30" t="s">
        <v>668</v>
      </c>
      <c r="I1318" s="31">
        <v>3578</v>
      </c>
    </row>
    <row r="1319" spans="6:9">
      <c r="F1319" s="29" t="s">
        <v>14</v>
      </c>
      <c r="G1319" s="30" t="s">
        <v>671</v>
      </c>
      <c r="H1319" s="30" t="s">
        <v>672</v>
      </c>
      <c r="I1319" s="31">
        <v>6194</v>
      </c>
    </row>
    <row r="1320" spans="6:9">
      <c r="F1320" s="29" t="s">
        <v>16</v>
      </c>
      <c r="G1320" s="30" t="s">
        <v>657</v>
      </c>
      <c r="H1320" s="30" t="s">
        <v>678</v>
      </c>
      <c r="I1320" s="31">
        <v>4567</v>
      </c>
    </row>
    <row r="1321" spans="6:9">
      <c r="F1321" s="29" t="s">
        <v>111</v>
      </c>
      <c r="G1321" s="30" t="s">
        <v>660</v>
      </c>
      <c r="H1321" s="30" t="s">
        <v>665</v>
      </c>
      <c r="I1321" s="31">
        <v>1508</v>
      </c>
    </row>
    <row r="1322" spans="6:9">
      <c r="F1322" s="29" t="s">
        <v>16</v>
      </c>
      <c r="G1322" s="30" t="s">
        <v>649</v>
      </c>
      <c r="H1322" s="30" t="s">
        <v>651</v>
      </c>
      <c r="I1322" s="31">
        <v>1310</v>
      </c>
    </row>
    <row r="1323" spans="6:9">
      <c r="F1323" s="29" t="s">
        <v>14</v>
      </c>
      <c r="G1323" s="30" t="s">
        <v>657</v>
      </c>
      <c r="H1323" s="30" t="s">
        <v>678</v>
      </c>
      <c r="I1323" s="31">
        <v>4466</v>
      </c>
    </row>
    <row r="1324" spans="6:9">
      <c r="F1324" s="29" t="s">
        <v>16</v>
      </c>
      <c r="G1324" s="30" t="s">
        <v>659</v>
      </c>
      <c r="H1324" s="30" t="s">
        <v>661</v>
      </c>
      <c r="I1324" s="31">
        <v>3443</v>
      </c>
    </row>
    <row r="1325" spans="6:9">
      <c r="F1325" s="29" t="s">
        <v>16</v>
      </c>
      <c r="G1325" s="30" t="s">
        <v>652</v>
      </c>
      <c r="H1325" s="30" t="s">
        <v>653</v>
      </c>
      <c r="I1325" s="31">
        <v>9480</v>
      </c>
    </row>
    <row r="1326" spans="6:9">
      <c r="F1326" s="29" t="s">
        <v>16</v>
      </c>
      <c r="G1326" s="30" t="s">
        <v>666</v>
      </c>
      <c r="H1326" s="30" t="s">
        <v>673</v>
      </c>
      <c r="I1326" s="31">
        <v>3787</v>
      </c>
    </row>
    <row r="1327" spans="6:9">
      <c r="F1327" s="29" t="s">
        <v>16</v>
      </c>
      <c r="G1327" s="30" t="s">
        <v>657</v>
      </c>
      <c r="H1327" s="30" t="s">
        <v>678</v>
      </c>
      <c r="I1327" s="31">
        <v>443</v>
      </c>
    </row>
    <row r="1328" spans="6:9">
      <c r="F1328" s="29" t="s">
        <v>16</v>
      </c>
      <c r="G1328" s="30" t="s">
        <v>671</v>
      </c>
      <c r="H1328" s="30" t="s">
        <v>672</v>
      </c>
      <c r="I1328" s="31">
        <v>1054</v>
      </c>
    </row>
    <row r="1329" spans="6:9">
      <c r="F1329" s="29" t="s">
        <v>16</v>
      </c>
      <c r="G1329" s="30" t="s">
        <v>652</v>
      </c>
      <c r="H1329" s="30" t="s">
        <v>656</v>
      </c>
      <c r="I1329" s="31">
        <v>1379</v>
      </c>
    </row>
    <row r="1330" spans="6:9">
      <c r="F1330" s="29" t="s">
        <v>10</v>
      </c>
      <c r="G1330" s="30" t="s">
        <v>649</v>
      </c>
      <c r="H1330" s="30" t="s">
        <v>655</v>
      </c>
      <c r="I1330" s="31">
        <v>1540</v>
      </c>
    </row>
    <row r="1331" spans="6:9">
      <c r="F1331" s="29" t="s">
        <v>16</v>
      </c>
      <c r="G1331" s="30" t="s">
        <v>670</v>
      </c>
      <c r="H1331" s="30" t="s">
        <v>664</v>
      </c>
      <c r="I1331" s="31">
        <v>6764</v>
      </c>
    </row>
    <row r="1332" spans="6:9">
      <c r="F1332" s="29" t="s">
        <v>111</v>
      </c>
      <c r="G1332" s="30" t="s">
        <v>670</v>
      </c>
      <c r="H1332" s="30" t="s">
        <v>674</v>
      </c>
      <c r="I1332" s="31">
        <v>2565</v>
      </c>
    </row>
    <row r="1333" spans="6:9">
      <c r="F1333" s="29" t="s">
        <v>111</v>
      </c>
      <c r="G1333" s="30" t="s">
        <v>660</v>
      </c>
      <c r="H1333" s="30" t="s">
        <v>664</v>
      </c>
      <c r="I1333" s="31">
        <v>5743</v>
      </c>
    </row>
    <row r="1334" spans="6:9">
      <c r="F1334" s="29" t="s">
        <v>111</v>
      </c>
      <c r="G1334" s="30" t="s">
        <v>660</v>
      </c>
      <c r="H1334" s="30" t="s">
        <v>664</v>
      </c>
      <c r="I1334" s="31">
        <v>1740</v>
      </c>
    </row>
    <row r="1335" spans="6:9">
      <c r="F1335" s="29" t="s">
        <v>14</v>
      </c>
      <c r="G1335" s="30" t="s">
        <v>666</v>
      </c>
      <c r="H1335" s="30" t="s">
        <v>667</v>
      </c>
      <c r="I1335" s="31">
        <v>9064</v>
      </c>
    </row>
    <row r="1336" spans="6:9">
      <c r="F1336" s="29" t="s">
        <v>111</v>
      </c>
      <c r="G1336" s="30" t="s">
        <v>649</v>
      </c>
      <c r="H1336" s="30" t="s">
        <v>648</v>
      </c>
      <c r="I1336" s="31">
        <v>1194</v>
      </c>
    </row>
    <row r="1337" spans="6:9">
      <c r="F1337" s="29" t="s">
        <v>16</v>
      </c>
      <c r="G1337" s="30" t="s">
        <v>659</v>
      </c>
      <c r="H1337" s="30" t="s">
        <v>655</v>
      </c>
      <c r="I1337" s="31">
        <v>2249</v>
      </c>
    </row>
    <row r="1338" spans="6:9">
      <c r="F1338" s="29" t="s">
        <v>14</v>
      </c>
      <c r="G1338" s="30" t="s">
        <v>671</v>
      </c>
      <c r="H1338" s="30" t="s">
        <v>674</v>
      </c>
      <c r="I1338" s="31">
        <v>3587</v>
      </c>
    </row>
    <row r="1339" spans="6:9">
      <c r="F1339" s="29" t="s">
        <v>111</v>
      </c>
      <c r="G1339" s="30" t="s">
        <v>659</v>
      </c>
      <c r="H1339" s="30" t="s">
        <v>661</v>
      </c>
      <c r="I1339" s="31">
        <v>9363</v>
      </c>
    </row>
    <row r="1340" spans="6:9">
      <c r="F1340" s="29" t="s">
        <v>14</v>
      </c>
      <c r="G1340" s="30" t="s">
        <v>670</v>
      </c>
      <c r="H1340" s="30" t="s">
        <v>674</v>
      </c>
      <c r="I1340" s="31">
        <v>2129</v>
      </c>
    </row>
    <row r="1341" spans="6:9">
      <c r="F1341" s="29" t="s">
        <v>10</v>
      </c>
      <c r="G1341" s="30" t="s">
        <v>657</v>
      </c>
      <c r="H1341" s="30" t="s">
        <v>678</v>
      </c>
      <c r="I1341" s="31">
        <v>8725</v>
      </c>
    </row>
    <row r="1342" spans="6:9">
      <c r="F1342" s="29" t="s">
        <v>14</v>
      </c>
      <c r="G1342" s="30" t="s">
        <v>659</v>
      </c>
      <c r="H1342" s="30" t="s">
        <v>655</v>
      </c>
      <c r="I1342" s="31">
        <v>5790</v>
      </c>
    </row>
    <row r="1343" spans="6:9">
      <c r="F1343" s="29" t="s">
        <v>10</v>
      </c>
      <c r="G1343" s="30" t="s">
        <v>660</v>
      </c>
      <c r="H1343" s="30" t="s">
        <v>661</v>
      </c>
      <c r="I1343" s="31">
        <v>4234</v>
      </c>
    </row>
    <row r="1344" spans="6:9">
      <c r="F1344" s="29" t="s">
        <v>10</v>
      </c>
      <c r="G1344" s="30" t="s">
        <v>670</v>
      </c>
      <c r="H1344" s="30" t="s">
        <v>661</v>
      </c>
      <c r="I1344" s="31">
        <v>7105</v>
      </c>
    </row>
    <row r="1345" spans="6:9">
      <c r="F1345" s="29" t="s">
        <v>10</v>
      </c>
      <c r="G1345" s="30" t="s">
        <v>670</v>
      </c>
      <c r="H1345" s="30" t="s">
        <v>674</v>
      </c>
      <c r="I1345" s="31">
        <v>2454</v>
      </c>
    </row>
    <row r="1346" spans="6:9">
      <c r="F1346" s="29" t="s">
        <v>16</v>
      </c>
      <c r="G1346" s="30" t="s">
        <v>670</v>
      </c>
      <c r="H1346" s="30" t="s">
        <v>669</v>
      </c>
      <c r="I1346" s="31">
        <v>6762</v>
      </c>
    </row>
    <row r="1347" spans="6:9">
      <c r="F1347" s="29" t="s">
        <v>10</v>
      </c>
      <c r="G1347" s="30" t="s">
        <v>657</v>
      </c>
      <c r="H1347" s="30" t="s">
        <v>681</v>
      </c>
      <c r="I1347" s="31">
        <v>6085</v>
      </c>
    </row>
    <row r="1348" spans="6:9">
      <c r="F1348" s="29" t="s">
        <v>16</v>
      </c>
      <c r="G1348" s="30" t="s">
        <v>666</v>
      </c>
      <c r="H1348" s="30" t="s">
        <v>667</v>
      </c>
      <c r="I1348" s="31">
        <v>6051</v>
      </c>
    </row>
    <row r="1349" spans="6:9">
      <c r="F1349" s="29" t="s">
        <v>16</v>
      </c>
      <c r="G1349" s="30" t="s">
        <v>659</v>
      </c>
      <c r="H1349" s="30" t="s">
        <v>661</v>
      </c>
      <c r="I1349" s="31">
        <v>694</v>
      </c>
    </row>
    <row r="1350" spans="6:9">
      <c r="F1350" s="29" t="s">
        <v>16</v>
      </c>
      <c r="G1350" s="30" t="s">
        <v>652</v>
      </c>
      <c r="H1350" s="30" t="s">
        <v>654</v>
      </c>
      <c r="I1350" s="31">
        <v>8346</v>
      </c>
    </row>
    <row r="1351" spans="6:9">
      <c r="F1351" s="29" t="s">
        <v>10</v>
      </c>
      <c r="G1351" s="30" t="s">
        <v>671</v>
      </c>
      <c r="H1351" s="30" t="s">
        <v>675</v>
      </c>
      <c r="I1351" s="31">
        <v>4897</v>
      </c>
    </row>
    <row r="1352" spans="6:9">
      <c r="F1352" s="29" t="s">
        <v>14</v>
      </c>
      <c r="G1352" s="30" t="s">
        <v>652</v>
      </c>
      <c r="H1352" s="30" t="s">
        <v>653</v>
      </c>
      <c r="I1352" s="31">
        <v>1353</v>
      </c>
    </row>
    <row r="1353" spans="6:9">
      <c r="F1353" s="29" t="s">
        <v>10</v>
      </c>
      <c r="G1353" s="30" t="s">
        <v>659</v>
      </c>
      <c r="H1353" s="30" t="s">
        <v>654</v>
      </c>
      <c r="I1353" s="31">
        <v>5809</v>
      </c>
    </row>
    <row r="1354" spans="6:9">
      <c r="F1354" s="29" t="s">
        <v>10</v>
      </c>
      <c r="G1354" s="30" t="s">
        <v>660</v>
      </c>
      <c r="H1354" s="30" t="s">
        <v>661</v>
      </c>
      <c r="I1354" s="31">
        <v>2861</v>
      </c>
    </row>
    <row r="1355" spans="6:9">
      <c r="F1355" s="29" t="s">
        <v>14</v>
      </c>
      <c r="G1355" s="30" t="s">
        <v>649</v>
      </c>
      <c r="H1355" s="30" t="s">
        <v>651</v>
      </c>
      <c r="I1355" s="31">
        <v>2895</v>
      </c>
    </row>
    <row r="1356" spans="6:9">
      <c r="F1356" s="29" t="s">
        <v>10</v>
      </c>
      <c r="G1356" s="30" t="s">
        <v>662</v>
      </c>
      <c r="H1356" s="30" t="s">
        <v>663</v>
      </c>
      <c r="I1356" s="31">
        <v>5844</v>
      </c>
    </row>
    <row r="1357" spans="6:9">
      <c r="F1357" s="29" t="s">
        <v>10</v>
      </c>
      <c r="G1357" s="30" t="s">
        <v>660</v>
      </c>
      <c r="H1357" s="30" t="s">
        <v>668</v>
      </c>
      <c r="I1357" s="31">
        <v>559</v>
      </c>
    </row>
    <row r="1358" spans="6:9">
      <c r="F1358" s="29" t="s">
        <v>10</v>
      </c>
      <c r="G1358" s="30" t="s">
        <v>670</v>
      </c>
      <c r="H1358" s="30" t="s">
        <v>669</v>
      </c>
      <c r="I1358" s="31">
        <v>6039</v>
      </c>
    </row>
    <row r="1359" spans="6:9">
      <c r="F1359" s="29" t="s">
        <v>10</v>
      </c>
      <c r="G1359" s="30" t="s">
        <v>660</v>
      </c>
      <c r="H1359" s="30" t="s">
        <v>665</v>
      </c>
      <c r="I1359" s="31">
        <v>9008</v>
      </c>
    </row>
    <row r="1360" spans="6:9">
      <c r="F1360" s="29" t="s">
        <v>10</v>
      </c>
      <c r="G1360" s="30" t="s">
        <v>671</v>
      </c>
      <c r="H1360" s="30" t="s">
        <v>672</v>
      </c>
      <c r="I1360" s="31">
        <v>6702</v>
      </c>
    </row>
    <row r="1361" spans="6:9">
      <c r="F1361" s="29" t="s">
        <v>14</v>
      </c>
      <c r="G1361" s="30" t="s">
        <v>671</v>
      </c>
      <c r="H1361" s="30" t="s">
        <v>672</v>
      </c>
      <c r="I1361" s="31">
        <v>7677</v>
      </c>
    </row>
    <row r="1362" spans="6:9">
      <c r="F1362" s="29" t="s">
        <v>10</v>
      </c>
      <c r="G1362" s="30" t="s">
        <v>660</v>
      </c>
      <c r="H1362" s="30" t="s">
        <v>661</v>
      </c>
      <c r="I1362" s="31">
        <v>283</v>
      </c>
    </row>
    <row r="1363" spans="6:9">
      <c r="F1363" s="29" t="s">
        <v>10</v>
      </c>
      <c r="G1363" s="30" t="s">
        <v>662</v>
      </c>
      <c r="H1363" s="30" t="s">
        <v>676</v>
      </c>
      <c r="I1363" s="31">
        <v>1528</v>
      </c>
    </row>
    <row r="1364" spans="6:9">
      <c r="F1364" s="29" t="s">
        <v>111</v>
      </c>
      <c r="G1364" s="30" t="s">
        <v>671</v>
      </c>
      <c r="H1364" s="30" t="s">
        <v>672</v>
      </c>
      <c r="I1364" s="31">
        <v>6346</v>
      </c>
    </row>
    <row r="1365" spans="6:9">
      <c r="F1365" s="29" t="s">
        <v>10</v>
      </c>
      <c r="G1365" s="30" t="s">
        <v>662</v>
      </c>
      <c r="H1365" s="30" t="s">
        <v>679</v>
      </c>
      <c r="I1365" s="31">
        <v>7754</v>
      </c>
    </row>
    <row r="1366" spans="6:9">
      <c r="F1366" s="29" t="s">
        <v>14</v>
      </c>
      <c r="G1366" s="30" t="s">
        <v>659</v>
      </c>
      <c r="H1366" s="30" t="s">
        <v>661</v>
      </c>
      <c r="I1366" s="31">
        <v>3774</v>
      </c>
    </row>
    <row r="1367" spans="6:9">
      <c r="F1367" s="29" t="s">
        <v>14</v>
      </c>
      <c r="G1367" s="30" t="s">
        <v>666</v>
      </c>
      <c r="H1367" s="30" t="s">
        <v>673</v>
      </c>
      <c r="I1367" s="31">
        <v>1890</v>
      </c>
    </row>
    <row r="1368" spans="6:9">
      <c r="F1368" s="29" t="s">
        <v>111</v>
      </c>
      <c r="G1368" s="30" t="s">
        <v>652</v>
      </c>
      <c r="H1368" s="30" t="s">
        <v>653</v>
      </c>
      <c r="I1368" s="31">
        <v>1655</v>
      </c>
    </row>
    <row r="1369" spans="6:9">
      <c r="F1369" s="29" t="s">
        <v>111</v>
      </c>
      <c r="G1369" s="30" t="s">
        <v>662</v>
      </c>
      <c r="H1369" s="30" t="s">
        <v>676</v>
      </c>
      <c r="I1369" s="31">
        <v>6064</v>
      </c>
    </row>
    <row r="1370" spans="6:9">
      <c r="F1370" s="29" t="s">
        <v>10</v>
      </c>
      <c r="G1370" s="30" t="s">
        <v>662</v>
      </c>
      <c r="H1370" s="30" t="s">
        <v>679</v>
      </c>
      <c r="I1370" s="31">
        <v>9041</v>
      </c>
    </row>
    <row r="1371" spans="6:9">
      <c r="F1371" s="29" t="s">
        <v>16</v>
      </c>
      <c r="G1371" s="30" t="s">
        <v>670</v>
      </c>
      <c r="H1371" s="30" t="s">
        <v>661</v>
      </c>
      <c r="I1371" s="31">
        <v>1566</v>
      </c>
    </row>
    <row r="1372" spans="6:9">
      <c r="F1372" s="29" t="s">
        <v>16</v>
      </c>
      <c r="G1372" s="30" t="s">
        <v>670</v>
      </c>
      <c r="H1372" s="30" t="s">
        <v>669</v>
      </c>
      <c r="I1372" s="31">
        <v>9996</v>
      </c>
    </row>
    <row r="1373" spans="6:9">
      <c r="F1373" s="29" t="s">
        <v>16</v>
      </c>
      <c r="G1373" s="30" t="s">
        <v>652</v>
      </c>
      <c r="H1373" s="30" t="s">
        <v>656</v>
      </c>
      <c r="I1373" s="31">
        <v>5966</v>
      </c>
    </row>
    <row r="1374" spans="6:9">
      <c r="F1374" s="29" t="s">
        <v>16</v>
      </c>
      <c r="G1374" s="30" t="s">
        <v>671</v>
      </c>
      <c r="H1374" s="30" t="s">
        <v>674</v>
      </c>
      <c r="I1374" s="31">
        <v>6257</v>
      </c>
    </row>
    <row r="1375" spans="6:9">
      <c r="F1375" s="29" t="s">
        <v>10</v>
      </c>
      <c r="G1375" s="30" t="s">
        <v>660</v>
      </c>
      <c r="H1375" s="30" t="s">
        <v>665</v>
      </c>
      <c r="I1375" s="31">
        <v>1438</v>
      </c>
    </row>
    <row r="1376" spans="6:9">
      <c r="F1376" s="29" t="s">
        <v>16</v>
      </c>
      <c r="G1376" s="30" t="s">
        <v>660</v>
      </c>
      <c r="H1376" s="30" t="s">
        <v>661</v>
      </c>
      <c r="I1376" s="31">
        <v>4970</v>
      </c>
    </row>
    <row r="1377" spans="6:9">
      <c r="F1377" s="29" t="s">
        <v>16</v>
      </c>
      <c r="G1377" s="30" t="s">
        <v>671</v>
      </c>
      <c r="H1377" s="30" t="s">
        <v>672</v>
      </c>
      <c r="I1377" s="31">
        <v>8296</v>
      </c>
    </row>
    <row r="1378" spans="6:9">
      <c r="F1378" s="29" t="s">
        <v>16</v>
      </c>
      <c r="G1378" s="30" t="s">
        <v>670</v>
      </c>
      <c r="H1378" s="30" t="s">
        <v>664</v>
      </c>
      <c r="I1378" s="31">
        <v>4373</v>
      </c>
    </row>
    <row r="1379" spans="6:9">
      <c r="F1379" s="29" t="s">
        <v>16</v>
      </c>
      <c r="G1379" s="30" t="s">
        <v>671</v>
      </c>
      <c r="H1379" s="30" t="s">
        <v>672</v>
      </c>
      <c r="I1379" s="31">
        <v>2877</v>
      </c>
    </row>
    <row r="1380" spans="6:9">
      <c r="F1380" s="29" t="s">
        <v>111</v>
      </c>
      <c r="G1380" s="30" t="s">
        <v>666</v>
      </c>
      <c r="H1380" s="30" t="s">
        <v>673</v>
      </c>
      <c r="I1380" s="31">
        <v>2492</v>
      </c>
    </row>
    <row r="1381" spans="6:9">
      <c r="F1381" s="29" t="s">
        <v>14</v>
      </c>
      <c r="G1381" s="30" t="s">
        <v>670</v>
      </c>
      <c r="H1381" s="30" t="s">
        <v>674</v>
      </c>
      <c r="I1381" s="31">
        <v>1415</v>
      </c>
    </row>
    <row r="1382" spans="6:9">
      <c r="F1382" s="29" t="s">
        <v>111</v>
      </c>
      <c r="G1382" s="30" t="s">
        <v>671</v>
      </c>
      <c r="H1382" s="30" t="s">
        <v>675</v>
      </c>
      <c r="I1382" s="31">
        <v>4586</v>
      </c>
    </row>
    <row r="1383" spans="6:9">
      <c r="F1383" s="29" t="s">
        <v>111</v>
      </c>
      <c r="G1383" s="30" t="s">
        <v>660</v>
      </c>
      <c r="H1383" s="30" t="s">
        <v>668</v>
      </c>
      <c r="I1383" s="31">
        <v>3591</v>
      </c>
    </row>
    <row r="1384" spans="6:9">
      <c r="F1384" s="29" t="s">
        <v>111</v>
      </c>
      <c r="G1384" s="30" t="s">
        <v>670</v>
      </c>
      <c r="H1384" s="30" t="s">
        <v>674</v>
      </c>
      <c r="I1384" s="31">
        <v>1135</v>
      </c>
    </row>
    <row r="1385" spans="6:9">
      <c r="F1385" s="29" t="s">
        <v>111</v>
      </c>
      <c r="G1385" s="30" t="s">
        <v>660</v>
      </c>
      <c r="H1385" s="30" t="s">
        <v>664</v>
      </c>
      <c r="I1385" s="31">
        <v>2657</v>
      </c>
    </row>
    <row r="1386" spans="6:9">
      <c r="F1386" s="29" t="s">
        <v>14</v>
      </c>
      <c r="G1386" s="30" t="s">
        <v>662</v>
      </c>
      <c r="H1386" s="30" t="s">
        <v>676</v>
      </c>
      <c r="I1386" s="31">
        <v>4399</v>
      </c>
    </row>
    <row r="1387" spans="6:9">
      <c r="F1387" s="29" t="s">
        <v>14</v>
      </c>
      <c r="G1387" s="30" t="s">
        <v>660</v>
      </c>
      <c r="H1387" s="30" t="s">
        <v>661</v>
      </c>
      <c r="I1387" s="31">
        <v>7435</v>
      </c>
    </row>
    <row r="1388" spans="6:9">
      <c r="F1388" s="29" t="s">
        <v>14</v>
      </c>
      <c r="G1388" s="30" t="s">
        <v>670</v>
      </c>
      <c r="H1388" s="30" t="s">
        <v>674</v>
      </c>
      <c r="I1388" s="31">
        <v>8426</v>
      </c>
    </row>
    <row r="1389" spans="6:9">
      <c r="F1389" s="29" t="s">
        <v>14</v>
      </c>
      <c r="G1389" s="30" t="s">
        <v>649</v>
      </c>
      <c r="H1389" s="30" t="s">
        <v>651</v>
      </c>
      <c r="I1389" s="31">
        <v>4603</v>
      </c>
    </row>
    <row r="1390" spans="6:9">
      <c r="F1390" s="29" t="s">
        <v>16</v>
      </c>
      <c r="G1390" s="30" t="s">
        <v>670</v>
      </c>
      <c r="H1390" s="30" t="s">
        <v>674</v>
      </c>
      <c r="I1390" s="31">
        <v>3347</v>
      </c>
    </row>
    <row r="1391" spans="6:9">
      <c r="F1391" s="29" t="s">
        <v>111</v>
      </c>
      <c r="G1391" s="30" t="s">
        <v>659</v>
      </c>
      <c r="H1391" s="30" t="s">
        <v>661</v>
      </c>
      <c r="I1391" s="31">
        <v>5502</v>
      </c>
    </row>
    <row r="1392" spans="6:9">
      <c r="F1392" s="29" t="s">
        <v>111</v>
      </c>
      <c r="G1392" s="30" t="s">
        <v>657</v>
      </c>
      <c r="H1392" s="30" t="s">
        <v>681</v>
      </c>
      <c r="I1392" s="31">
        <v>7915</v>
      </c>
    </row>
    <row r="1393" spans="6:9">
      <c r="F1393" s="29" t="s">
        <v>16</v>
      </c>
      <c r="G1393" s="30" t="s">
        <v>657</v>
      </c>
      <c r="H1393" s="30" t="s">
        <v>680</v>
      </c>
      <c r="I1393" s="31">
        <v>4405</v>
      </c>
    </row>
    <row r="1394" spans="6:9">
      <c r="F1394" s="29" t="s">
        <v>16</v>
      </c>
      <c r="G1394" s="30" t="s">
        <v>649</v>
      </c>
      <c r="H1394" s="30" t="s">
        <v>655</v>
      </c>
      <c r="I1394" s="31">
        <v>878</v>
      </c>
    </row>
    <row r="1395" spans="6:9">
      <c r="F1395" s="29" t="s">
        <v>111</v>
      </c>
      <c r="G1395" s="30" t="s">
        <v>671</v>
      </c>
      <c r="H1395" s="30" t="s">
        <v>674</v>
      </c>
      <c r="I1395" s="31">
        <v>9218</v>
      </c>
    </row>
    <row r="1396" spans="6:9">
      <c r="F1396" s="29" t="s">
        <v>14</v>
      </c>
      <c r="G1396" s="30" t="s">
        <v>670</v>
      </c>
      <c r="H1396" s="30" t="s">
        <v>661</v>
      </c>
      <c r="I1396" s="31">
        <v>8096</v>
      </c>
    </row>
    <row r="1397" spans="6:9">
      <c r="F1397" s="29" t="s">
        <v>10</v>
      </c>
      <c r="G1397" s="30" t="s">
        <v>660</v>
      </c>
      <c r="H1397" s="30" t="s">
        <v>665</v>
      </c>
      <c r="I1397" s="31">
        <v>2923</v>
      </c>
    </row>
    <row r="1398" spans="6:9">
      <c r="F1398" s="29" t="s">
        <v>10</v>
      </c>
      <c r="G1398" s="30" t="s">
        <v>660</v>
      </c>
      <c r="H1398" s="30" t="s">
        <v>668</v>
      </c>
      <c r="I1398" s="31">
        <v>5327</v>
      </c>
    </row>
    <row r="1399" spans="6:9">
      <c r="F1399" s="29" t="s">
        <v>16</v>
      </c>
      <c r="G1399" s="30" t="s">
        <v>660</v>
      </c>
      <c r="H1399" s="30" t="s">
        <v>661</v>
      </c>
      <c r="I1399" s="31">
        <v>8559</v>
      </c>
    </row>
    <row r="1400" spans="6:9">
      <c r="F1400" s="29" t="s">
        <v>10</v>
      </c>
      <c r="G1400" s="30" t="s">
        <v>657</v>
      </c>
      <c r="H1400" s="30" t="s">
        <v>678</v>
      </c>
      <c r="I1400" s="31">
        <v>7927</v>
      </c>
    </row>
    <row r="1401" spans="6:9">
      <c r="F1401" s="29" t="s">
        <v>16</v>
      </c>
      <c r="G1401" s="30" t="s">
        <v>662</v>
      </c>
      <c r="H1401" s="30" t="s">
        <v>676</v>
      </c>
      <c r="I1401" s="31">
        <v>6871</v>
      </c>
    </row>
    <row r="1402" spans="6:9">
      <c r="F1402" s="29" t="s">
        <v>16</v>
      </c>
      <c r="G1402" s="30" t="s">
        <v>670</v>
      </c>
      <c r="H1402" s="30" t="s">
        <v>674</v>
      </c>
      <c r="I1402" s="31">
        <v>9621</v>
      </c>
    </row>
    <row r="1403" spans="6:9">
      <c r="F1403" s="29" t="s">
        <v>14</v>
      </c>
      <c r="G1403" s="30" t="s">
        <v>649</v>
      </c>
      <c r="H1403" s="30" t="s">
        <v>648</v>
      </c>
      <c r="I1403" s="31">
        <v>8540</v>
      </c>
    </row>
    <row r="1404" spans="6:9">
      <c r="F1404" s="29" t="s">
        <v>10</v>
      </c>
      <c r="G1404" s="30" t="s">
        <v>659</v>
      </c>
      <c r="H1404" s="30" t="s">
        <v>655</v>
      </c>
      <c r="I1404" s="31">
        <v>7767</v>
      </c>
    </row>
    <row r="1405" spans="6:9">
      <c r="F1405" s="29" t="s">
        <v>10</v>
      </c>
      <c r="G1405" s="30" t="s">
        <v>659</v>
      </c>
      <c r="H1405" s="30" t="s">
        <v>654</v>
      </c>
      <c r="I1405" s="31">
        <v>9455</v>
      </c>
    </row>
    <row r="1406" spans="6:9">
      <c r="F1406" s="29" t="s">
        <v>14</v>
      </c>
      <c r="G1406" s="30" t="s">
        <v>652</v>
      </c>
      <c r="H1406" s="30" t="s">
        <v>656</v>
      </c>
      <c r="I1406" s="31">
        <v>769</v>
      </c>
    </row>
    <row r="1407" spans="6:9">
      <c r="F1407" s="29" t="s">
        <v>10</v>
      </c>
      <c r="G1407" s="30" t="s">
        <v>649</v>
      </c>
      <c r="H1407" s="30" t="s">
        <v>648</v>
      </c>
      <c r="I1407" s="31">
        <v>3577</v>
      </c>
    </row>
    <row r="1408" spans="6:9">
      <c r="F1408" s="29" t="s">
        <v>111</v>
      </c>
      <c r="G1408" s="30" t="s">
        <v>660</v>
      </c>
      <c r="H1408" s="30" t="s">
        <v>668</v>
      </c>
      <c r="I1408" s="31">
        <v>4091</v>
      </c>
    </row>
    <row r="1409" spans="6:9">
      <c r="F1409" s="29" t="s">
        <v>111</v>
      </c>
      <c r="G1409" s="30" t="s">
        <v>660</v>
      </c>
      <c r="H1409" s="30" t="s">
        <v>665</v>
      </c>
      <c r="I1409" s="31">
        <v>7774</v>
      </c>
    </row>
    <row r="1410" spans="6:9">
      <c r="F1410" s="29" t="s">
        <v>10</v>
      </c>
      <c r="G1410" s="30" t="s">
        <v>666</v>
      </c>
      <c r="H1410" s="30" t="s">
        <v>673</v>
      </c>
      <c r="I1410" s="31">
        <v>7831</v>
      </c>
    </row>
    <row r="1411" spans="6:9">
      <c r="F1411" s="29" t="s">
        <v>10</v>
      </c>
      <c r="G1411" s="30" t="s">
        <v>649</v>
      </c>
      <c r="H1411" s="30" t="s">
        <v>655</v>
      </c>
      <c r="I1411" s="31">
        <v>6255</v>
      </c>
    </row>
    <row r="1412" spans="6:9">
      <c r="F1412" s="29" t="s">
        <v>111</v>
      </c>
      <c r="G1412" s="30" t="s">
        <v>652</v>
      </c>
      <c r="H1412" s="30" t="s">
        <v>656</v>
      </c>
      <c r="I1412" s="31">
        <v>7121</v>
      </c>
    </row>
    <row r="1413" spans="6:9">
      <c r="F1413" s="29" t="s">
        <v>14</v>
      </c>
      <c r="G1413" s="30" t="s">
        <v>659</v>
      </c>
      <c r="H1413" s="30" t="s">
        <v>654</v>
      </c>
      <c r="I1413" s="31">
        <v>4527</v>
      </c>
    </row>
    <row r="1414" spans="6:9">
      <c r="F1414" s="29" t="s">
        <v>111</v>
      </c>
      <c r="G1414" s="30" t="s">
        <v>671</v>
      </c>
      <c r="H1414" s="30" t="s">
        <v>672</v>
      </c>
      <c r="I1414" s="31">
        <v>2588</v>
      </c>
    </row>
    <row r="1415" spans="6:9">
      <c r="F1415" s="29" t="s">
        <v>10</v>
      </c>
      <c r="G1415" s="30" t="s">
        <v>670</v>
      </c>
      <c r="H1415" s="30" t="s">
        <v>664</v>
      </c>
      <c r="I1415" s="31">
        <v>1906</v>
      </c>
    </row>
    <row r="1416" spans="6:9">
      <c r="F1416" s="29" t="s">
        <v>111</v>
      </c>
      <c r="G1416" s="30" t="s">
        <v>666</v>
      </c>
      <c r="H1416" s="30" t="s">
        <v>677</v>
      </c>
      <c r="I1416" s="31">
        <v>8897</v>
      </c>
    </row>
    <row r="1417" spans="6:9">
      <c r="F1417" s="29" t="s">
        <v>10</v>
      </c>
      <c r="G1417" s="30" t="s">
        <v>662</v>
      </c>
      <c r="H1417" s="30" t="s">
        <v>676</v>
      </c>
      <c r="I1417" s="31">
        <v>1869</v>
      </c>
    </row>
    <row r="1418" spans="6:9">
      <c r="F1418" s="29" t="s">
        <v>14</v>
      </c>
      <c r="G1418" s="30" t="s">
        <v>652</v>
      </c>
      <c r="H1418" s="30" t="s">
        <v>654</v>
      </c>
      <c r="I1418" s="31">
        <v>4791</v>
      </c>
    </row>
    <row r="1419" spans="6:9">
      <c r="F1419" s="29" t="s">
        <v>111</v>
      </c>
      <c r="G1419" s="30" t="s">
        <v>659</v>
      </c>
      <c r="H1419" s="30" t="s">
        <v>661</v>
      </c>
      <c r="I1419" s="31">
        <v>3549</v>
      </c>
    </row>
    <row r="1420" spans="6:9">
      <c r="F1420" s="29" t="s">
        <v>16</v>
      </c>
      <c r="G1420" s="30" t="s">
        <v>659</v>
      </c>
      <c r="H1420" s="30" t="s">
        <v>654</v>
      </c>
      <c r="I1420" s="31">
        <v>1751</v>
      </c>
    </row>
    <row r="1421" spans="6:9">
      <c r="F1421" s="29" t="s">
        <v>111</v>
      </c>
      <c r="G1421" s="30" t="s">
        <v>666</v>
      </c>
      <c r="H1421" s="30" t="s">
        <v>677</v>
      </c>
      <c r="I1421" s="31">
        <v>8258</v>
      </c>
    </row>
    <row r="1422" spans="6:9">
      <c r="F1422" s="29" t="s">
        <v>14</v>
      </c>
      <c r="G1422" s="30" t="s">
        <v>649</v>
      </c>
      <c r="H1422" s="30" t="s">
        <v>648</v>
      </c>
      <c r="I1422" s="31">
        <v>5283</v>
      </c>
    </row>
    <row r="1423" spans="6:9">
      <c r="F1423" s="29" t="s">
        <v>16</v>
      </c>
      <c r="G1423" s="30" t="s">
        <v>660</v>
      </c>
      <c r="H1423" s="30" t="s">
        <v>664</v>
      </c>
      <c r="I1423" s="31">
        <v>2682</v>
      </c>
    </row>
    <row r="1424" spans="6:9">
      <c r="F1424" s="29" t="s">
        <v>14</v>
      </c>
      <c r="G1424" s="30" t="s">
        <v>670</v>
      </c>
      <c r="H1424" s="30" t="s">
        <v>664</v>
      </c>
      <c r="I1424" s="31">
        <v>6226</v>
      </c>
    </row>
    <row r="1425" spans="6:9">
      <c r="F1425" s="29" t="s">
        <v>111</v>
      </c>
      <c r="G1425" s="30" t="s">
        <v>657</v>
      </c>
      <c r="H1425" s="30" t="s">
        <v>681</v>
      </c>
      <c r="I1425" s="31">
        <v>3718</v>
      </c>
    </row>
    <row r="1426" spans="6:9">
      <c r="F1426" s="29" t="s">
        <v>16</v>
      </c>
      <c r="G1426" s="30" t="s">
        <v>660</v>
      </c>
      <c r="H1426" s="30" t="s">
        <v>668</v>
      </c>
      <c r="I1426" s="31">
        <v>3341</v>
      </c>
    </row>
    <row r="1427" spans="6:9">
      <c r="F1427" s="29" t="s">
        <v>16</v>
      </c>
      <c r="G1427" s="30" t="s">
        <v>657</v>
      </c>
      <c r="H1427" s="30" t="s">
        <v>678</v>
      </c>
      <c r="I1427" s="31">
        <v>3282</v>
      </c>
    </row>
    <row r="1428" spans="6:9">
      <c r="F1428" s="29" t="s">
        <v>10</v>
      </c>
      <c r="G1428" s="30" t="s">
        <v>657</v>
      </c>
      <c r="H1428" s="30" t="s">
        <v>680</v>
      </c>
      <c r="I1428" s="31">
        <v>8799</v>
      </c>
    </row>
    <row r="1429" spans="6:9">
      <c r="F1429" s="29" t="s">
        <v>14</v>
      </c>
      <c r="G1429" s="30" t="s">
        <v>660</v>
      </c>
      <c r="H1429" s="30" t="s">
        <v>661</v>
      </c>
      <c r="I1429" s="31">
        <v>2248</v>
      </c>
    </row>
    <row r="1430" spans="6:9">
      <c r="F1430" s="29" t="s">
        <v>111</v>
      </c>
      <c r="G1430" s="30" t="s">
        <v>652</v>
      </c>
      <c r="H1430" s="30" t="s">
        <v>656</v>
      </c>
      <c r="I1430" s="31">
        <v>4378</v>
      </c>
    </row>
    <row r="1431" spans="6:9">
      <c r="F1431" s="29" t="s">
        <v>111</v>
      </c>
      <c r="G1431" s="30" t="s">
        <v>657</v>
      </c>
      <c r="H1431" s="30" t="s">
        <v>678</v>
      </c>
      <c r="I1431" s="31">
        <v>785</v>
      </c>
    </row>
    <row r="1432" spans="6:9">
      <c r="F1432" s="29" t="s">
        <v>111</v>
      </c>
      <c r="G1432" s="30" t="s">
        <v>649</v>
      </c>
      <c r="H1432" s="30" t="s">
        <v>655</v>
      </c>
      <c r="I1432" s="31">
        <v>1655</v>
      </c>
    </row>
    <row r="1433" spans="6:9">
      <c r="F1433" s="29" t="s">
        <v>111</v>
      </c>
      <c r="G1433" s="30" t="s">
        <v>652</v>
      </c>
      <c r="H1433" s="30" t="s">
        <v>656</v>
      </c>
      <c r="I1433" s="31">
        <v>7637</v>
      </c>
    </row>
    <row r="1434" spans="6:9">
      <c r="F1434" s="29" t="s">
        <v>14</v>
      </c>
      <c r="G1434" s="30" t="s">
        <v>649</v>
      </c>
      <c r="H1434" s="30" t="s">
        <v>648</v>
      </c>
      <c r="I1434" s="31">
        <v>6896</v>
      </c>
    </row>
    <row r="1435" spans="6:9">
      <c r="F1435" s="29" t="s">
        <v>14</v>
      </c>
      <c r="G1435" s="30" t="s">
        <v>670</v>
      </c>
      <c r="H1435" s="30" t="s">
        <v>669</v>
      </c>
      <c r="I1435" s="31">
        <v>4919</v>
      </c>
    </row>
    <row r="1436" spans="6:9">
      <c r="F1436" s="29" t="s">
        <v>111</v>
      </c>
      <c r="G1436" s="30" t="s">
        <v>657</v>
      </c>
      <c r="H1436" s="30" t="s">
        <v>681</v>
      </c>
      <c r="I1436" s="31">
        <v>8337</v>
      </c>
    </row>
    <row r="1437" spans="6:9">
      <c r="F1437" s="29" t="s">
        <v>14</v>
      </c>
      <c r="G1437" s="30" t="s">
        <v>662</v>
      </c>
      <c r="H1437" s="30" t="s">
        <v>676</v>
      </c>
      <c r="I1437" s="31">
        <v>5800</v>
      </c>
    </row>
    <row r="1438" spans="6:9">
      <c r="F1438" s="29" t="s">
        <v>16</v>
      </c>
      <c r="G1438" s="30" t="s">
        <v>659</v>
      </c>
      <c r="H1438" s="30" t="s">
        <v>654</v>
      </c>
      <c r="I1438" s="31">
        <v>5798</v>
      </c>
    </row>
    <row r="1439" spans="6:9">
      <c r="F1439" s="29" t="s">
        <v>16</v>
      </c>
      <c r="G1439" s="30" t="s">
        <v>657</v>
      </c>
      <c r="H1439" s="30" t="s">
        <v>678</v>
      </c>
      <c r="I1439" s="31">
        <v>8926</v>
      </c>
    </row>
    <row r="1440" spans="6:9">
      <c r="F1440" s="29" t="s">
        <v>14</v>
      </c>
      <c r="G1440" s="30" t="s">
        <v>657</v>
      </c>
      <c r="H1440" s="30" t="s">
        <v>678</v>
      </c>
      <c r="I1440" s="31">
        <v>9852</v>
      </c>
    </row>
    <row r="1441" spans="6:9">
      <c r="F1441" s="29" t="s">
        <v>16</v>
      </c>
      <c r="G1441" s="30" t="s">
        <v>671</v>
      </c>
      <c r="H1441" s="30" t="s">
        <v>674</v>
      </c>
      <c r="I1441" s="31">
        <v>7771</v>
      </c>
    </row>
    <row r="1442" spans="6:9">
      <c r="F1442" s="29" t="s">
        <v>14</v>
      </c>
      <c r="G1442" s="30" t="s">
        <v>666</v>
      </c>
      <c r="H1442" s="30" t="s">
        <v>677</v>
      </c>
      <c r="I1442" s="31">
        <v>2831</v>
      </c>
    </row>
    <row r="1443" spans="6:9">
      <c r="F1443" s="29" t="s">
        <v>111</v>
      </c>
      <c r="G1443" s="30" t="s">
        <v>662</v>
      </c>
      <c r="H1443" s="30" t="s">
        <v>663</v>
      </c>
      <c r="I1443" s="31">
        <v>3464</v>
      </c>
    </row>
    <row r="1444" spans="6:9">
      <c r="F1444" s="29" t="s">
        <v>111</v>
      </c>
      <c r="G1444" s="30" t="s">
        <v>666</v>
      </c>
      <c r="H1444" s="30" t="s">
        <v>677</v>
      </c>
      <c r="I1444" s="31">
        <v>4082</v>
      </c>
    </row>
    <row r="1445" spans="6:9">
      <c r="F1445" s="29" t="s">
        <v>14</v>
      </c>
      <c r="G1445" s="30" t="s">
        <v>660</v>
      </c>
      <c r="H1445" s="30" t="s">
        <v>664</v>
      </c>
      <c r="I1445" s="31">
        <v>2221</v>
      </c>
    </row>
    <row r="1446" spans="6:9">
      <c r="F1446" s="29" t="s">
        <v>111</v>
      </c>
      <c r="G1446" s="30" t="s">
        <v>659</v>
      </c>
      <c r="H1446" s="30" t="s">
        <v>654</v>
      </c>
      <c r="I1446" s="31">
        <v>8829</v>
      </c>
    </row>
    <row r="1447" spans="6:9">
      <c r="F1447" s="29" t="s">
        <v>10</v>
      </c>
      <c r="G1447" s="30" t="s">
        <v>657</v>
      </c>
      <c r="H1447" s="30" t="s">
        <v>658</v>
      </c>
      <c r="I1447" s="31">
        <v>9739</v>
      </c>
    </row>
    <row r="1448" spans="6:9">
      <c r="F1448" s="29" t="s">
        <v>10</v>
      </c>
      <c r="G1448" s="30" t="s">
        <v>657</v>
      </c>
      <c r="H1448" s="30" t="s">
        <v>680</v>
      </c>
      <c r="I1448" s="31">
        <v>6020</v>
      </c>
    </row>
    <row r="1449" spans="6:9">
      <c r="F1449" s="29" t="s">
        <v>111</v>
      </c>
      <c r="G1449" s="30" t="s">
        <v>657</v>
      </c>
      <c r="H1449" s="30" t="s">
        <v>658</v>
      </c>
      <c r="I1449" s="31">
        <v>7120</v>
      </c>
    </row>
    <row r="1450" spans="6:9">
      <c r="F1450" s="29" t="s">
        <v>14</v>
      </c>
      <c r="G1450" s="30" t="s">
        <v>670</v>
      </c>
      <c r="H1450" s="30" t="s">
        <v>661</v>
      </c>
      <c r="I1450" s="31">
        <v>8993</v>
      </c>
    </row>
    <row r="1451" spans="6:9">
      <c r="F1451" s="29" t="s">
        <v>111</v>
      </c>
      <c r="G1451" s="30" t="s">
        <v>652</v>
      </c>
      <c r="H1451" s="30" t="s">
        <v>653</v>
      </c>
      <c r="I1451" s="31">
        <v>1314</v>
      </c>
    </row>
    <row r="1452" spans="6:9">
      <c r="F1452" s="29" t="s">
        <v>10</v>
      </c>
      <c r="G1452" s="30" t="s">
        <v>657</v>
      </c>
      <c r="H1452" s="30" t="s">
        <v>658</v>
      </c>
      <c r="I1452" s="31">
        <v>4743</v>
      </c>
    </row>
    <row r="1453" spans="6:9">
      <c r="F1453" s="29" t="s">
        <v>14</v>
      </c>
      <c r="G1453" s="30" t="s">
        <v>670</v>
      </c>
      <c r="H1453" s="30" t="s">
        <v>664</v>
      </c>
      <c r="I1453" s="31">
        <v>6923</v>
      </c>
    </row>
    <row r="1454" spans="6:9">
      <c r="F1454" s="29" t="s">
        <v>111</v>
      </c>
      <c r="G1454" s="30" t="s">
        <v>660</v>
      </c>
      <c r="H1454" s="30" t="s">
        <v>668</v>
      </c>
      <c r="I1454" s="31">
        <v>7029</v>
      </c>
    </row>
    <row r="1455" spans="6:9">
      <c r="F1455" s="29" t="s">
        <v>14</v>
      </c>
      <c r="G1455" s="30" t="s">
        <v>657</v>
      </c>
      <c r="H1455" s="30" t="s">
        <v>681</v>
      </c>
      <c r="I1455" s="31">
        <v>1690</v>
      </c>
    </row>
    <row r="1456" spans="6:9">
      <c r="F1456" s="29" t="s">
        <v>16</v>
      </c>
      <c r="G1456" s="30" t="s">
        <v>670</v>
      </c>
      <c r="H1456" s="30" t="s">
        <v>674</v>
      </c>
      <c r="I1456" s="31">
        <v>9158</v>
      </c>
    </row>
    <row r="1457" spans="6:9">
      <c r="F1457" s="29" t="s">
        <v>16</v>
      </c>
      <c r="G1457" s="30" t="s">
        <v>660</v>
      </c>
      <c r="H1457" s="30" t="s">
        <v>664</v>
      </c>
      <c r="I1457" s="31">
        <v>357</v>
      </c>
    </row>
    <row r="1458" spans="6:9">
      <c r="F1458" s="29" t="s">
        <v>14</v>
      </c>
      <c r="G1458" s="30" t="s">
        <v>671</v>
      </c>
      <c r="H1458" s="30" t="s">
        <v>672</v>
      </c>
      <c r="I1458" s="31">
        <v>8886</v>
      </c>
    </row>
    <row r="1459" spans="6:9">
      <c r="F1459" s="29" t="s">
        <v>10</v>
      </c>
      <c r="G1459" s="30" t="s">
        <v>657</v>
      </c>
      <c r="H1459" s="30" t="s">
        <v>678</v>
      </c>
      <c r="I1459" s="31">
        <v>5857</v>
      </c>
    </row>
    <row r="1460" spans="6:9">
      <c r="F1460" s="29" t="s">
        <v>10</v>
      </c>
      <c r="G1460" s="30" t="s">
        <v>666</v>
      </c>
      <c r="H1460" s="30" t="s">
        <v>677</v>
      </c>
      <c r="I1460" s="31">
        <v>836</v>
      </c>
    </row>
    <row r="1461" spans="6:9">
      <c r="F1461" s="29" t="s">
        <v>111</v>
      </c>
      <c r="G1461" s="30" t="s">
        <v>662</v>
      </c>
      <c r="H1461" s="30" t="s">
        <v>676</v>
      </c>
      <c r="I1461" s="31">
        <v>9334</v>
      </c>
    </row>
    <row r="1462" spans="6:9">
      <c r="F1462" s="29" t="s">
        <v>16</v>
      </c>
      <c r="G1462" s="30" t="s">
        <v>662</v>
      </c>
      <c r="H1462" s="30" t="s">
        <v>676</v>
      </c>
      <c r="I1462" s="31">
        <v>8279</v>
      </c>
    </row>
    <row r="1463" spans="6:9">
      <c r="F1463" s="29" t="s">
        <v>16</v>
      </c>
      <c r="G1463" s="30" t="s">
        <v>660</v>
      </c>
      <c r="H1463" s="30" t="s">
        <v>661</v>
      </c>
      <c r="I1463" s="31">
        <v>2129</v>
      </c>
    </row>
    <row r="1464" spans="6:9">
      <c r="F1464" s="29" t="s">
        <v>111</v>
      </c>
      <c r="G1464" s="30" t="s">
        <v>649</v>
      </c>
      <c r="H1464" s="30" t="s">
        <v>648</v>
      </c>
      <c r="I1464" s="31">
        <v>8304</v>
      </c>
    </row>
    <row r="1465" spans="6:9">
      <c r="F1465" s="29" t="s">
        <v>111</v>
      </c>
      <c r="G1465" s="30" t="s">
        <v>657</v>
      </c>
      <c r="H1465" s="30" t="s">
        <v>658</v>
      </c>
      <c r="I1465" s="31">
        <v>5174</v>
      </c>
    </row>
    <row r="1466" spans="6:9">
      <c r="F1466" s="29" t="s">
        <v>111</v>
      </c>
      <c r="G1466" s="30" t="s">
        <v>662</v>
      </c>
      <c r="H1466" s="30" t="s">
        <v>663</v>
      </c>
      <c r="I1466" s="31">
        <v>3448</v>
      </c>
    </row>
    <row r="1467" spans="6:9">
      <c r="F1467" s="29" t="s">
        <v>10</v>
      </c>
      <c r="G1467" s="30" t="s">
        <v>657</v>
      </c>
      <c r="H1467" s="30" t="s">
        <v>658</v>
      </c>
      <c r="I1467" s="31">
        <v>1641</v>
      </c>
    </row>
    <row r="1468" spans="6:9">
      <c r="F1468" s="32" t="s">
        <v>14</v>
      </c>
      <c r="G1468" s="22" t="s">
        <v>662</v>
      </c>
      <c r="H1468" s="22" t="s">
        <v>676</v>
      </c>
      <c r="I1468" s="33">
        <v>652</v>
      </c>
    </row>
  </sheetData>
  <mergeCells count="2">
    <mergeCell ref="A1:D2"/>
    <mergeCell ref="F1:I2"/>
  </mergeCell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6AB4-0BB2-4429-AEFF-4EC50915BEFA}">
  <dimension ref="A1:F23"/>
  <sheetViews>
    <sheetView workbookViewId="0">
      <selection activeCell="D11" sqref="D11"/>
    </sheetView>
  </sheetViews>
  <sheetFormatPr defaultColWidth="16.54296875" defaultRowHeight="14.5"/>
  <cols>
    <col min="1" max="1" width="34.81640625" customWidth="1"/>
    <col min="5" max="5" width="21.54296875" customWidth="1"/>
  </cols>
  <sheetData>
    <row r="1" spans="1:6" ht="17.5">
      <c r="A1" s="63" t="s">
        <v>682</v>
      </c>
      <c r="B1" s="63"/>
      <c r="C1" s="63"/>
      <c r="D1" s="63"/>
    </row>
    <row r="2" spans="1:6">
      <c r="A2" s="57" t="s">
        <v>683</v>
      </c>
      <c r="B2" s="57"/>
      <c r="C2" s="57"/>
      <c r="D2" s="57"/>
    </row>
    <row r="3" spans="1:6">
      <c r="A3" s="57" t="s">
        <v>684</v>
      </c>
      <c r="B3" s="57"/>
      <c r="C3" s="57"/>
      <c r="D3" s="57"/>
    </row>
    <row r="5" spans="1:6">
      <c r="A5" s="34" t="s">
        <v>685</v>
      </c>
      <c r="C5" s="34" t="s">
        <v>686</v>
      </c>
      <c r="F5" s="34"/>
    </row>
    <row r="6" spans="1:6">
      <c r="A6" s="35">
        <f ca="1">TODAY()</f>
        <v>46032</v>
      </c>
      <c r="C6" s="36">
        <f ca="1">A6+5</f>
        <v>46037</v>
      </c>
      <c r="F6" s="36"/>
    </row>
    <row r="7" spans="1:6">
      <c r="A7" s="35">
        <f ca="1">A6+1</f>
        <v>46033</v>
      </c>
      <c r="C7" s="36">
        <f ca="1">C6+4</f>
        <v>46041</v>
      </c>
      <c r="F7" s="36"/>
    </row>
    <row r="8" spans="1:6">
      <c r="A8" s="35">
        <f t="shared" ref="A8:A23" ca="1" si="0">A7+1</f>
        <v>46034</v>
      </c>
      <c r="C8" s="36">
        <f ca="1">C7+2</f>
        <v>46043</v>
      </c>
      <c r="F8" s="36"/>
    </row>
    <row r="9" spans="1:6">
      <c r="A9" s="35">
        <f t="shared" ca="1" si="0"/>
        <v>46035</v>
      </c>
      <c r="C9" s="36">
        <f ca="1">C8+1</f>
        <v>46044</v>
      </c>
      <c r="F9" s="36"/>
    </row>
    <row r="10" spans="1:6">
      <c r="A10" s="35">
        <f t="shared" ca="1" si="0"/>
        <v>46036</v>
      </c>
      <c r="F10" s="36"/>
    </row>
    <row r="11" spans="1:6">
      <c r="A11" s="35">
        <f t="shared" ca="1" si="0"/>
        <v>46037</v>
      </c>
      <c r="F11" s="36"/>
    </row>
    <row r="12" spans="1:6">
      <c r="A12" s="35">
        <f t="shared" ca="1" si="0"/>
        <v>46038</v>
      </c>
      <c r="F12" s="36"/>
    </row>
    <row r="13" spans="1:6">
      <c r="A13" s="35">
        <f t="shared" ca="1" si="0"/>
        <v>46039</v>
      </c>
      <c r="F13" s="36"/>
    </row>
    <row r="14" spans="1:6">
      <c r="A14" s="35">
        <f t="shared" ca="1" si="0"/>
        <v>46040</v>
      </c>
      <c r="F14" s="36"/>
    </row>
    <row r="15" spans="1:6">
      <c r="A15" s="35">
        <f t="shared" ca="1" si="0"/>
        <v>46041</v>
      </c>
      <c r="F15" s="36"/>
    </row>
    <row r="16" spans="1:6">
      <c r="A16" s="35">
        <f t="shared" ca="1" si="0"/>
        <v>46042</v>
      </c>
      <c r="F16" s="36"/>
    </row>
    <row r="17" spans="1:6">
      <c r="A17" s="35">
        <f t="shared" ca="1" si="0"/>
        <v>46043</v>
      </c>
      <c r="F17" s="36"/>
    </row>
    <row r="18" spans="1:6">
      <c r="A18" s="35">
        <f t="shared" ca="1" si="0"/>
        <v>46044</v>
      </c>
      <c r="F18" s="36"/>
    </row>
    <row r="19" spans="1:6">
      <c r="A19" s="35">
        <f t="shared" ca="1" si="0"/>
        <v>46045</v>
      </c>
      <c r="F19" s="36"/>
    </row>
    <row r="20" spans="1:6">
      <c r="A20" s="35">
        <f t="shared" ca="1" si="0"/>
        <v>46046</v>
      </c>
      <c r="F20" s="36"/>
    </row>
    <row r="21" spans="1:6">
      <c r="A21" s="35">
        <f t="shared" ca="1" si="0"/>
        <v>46047</v>
      </c>
      <c r="F21" s="36"/>
    </row>
    <row r="22" spans="1:6">
      <c r="A22" s="35">
        <f t="shared" ca="1" si="0"/>
        <v>46048</v>
      </c>
      <c r="F22" s="36"/>
    </row>
    <row r="23" spans="1:6">
      <c r="A23" s="35">
        <f t="shared" ca="1" si="0"/>
        <v>46049</v>
      </c>
      <c r="F23" s="36"/>
    </row>
  </sheetData>
  <mergeCells count="3">
    <mergeCell ref="A1:D1"/>
    <mergeCell ref="A2:D2"/>
    <mergeCell ref="A3:D3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9FA757-B85B-4B74-B801-E5FC12ABDF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Vlookup</vt:lpstr>
      <vt:lpstr>Hlookup</vt:lpstr>
      <vt:lpstr>Xlookup</vt:lpstr>
      <vt:lpstr>Excel Formula Examples</vt:lpstr>
      <vt:lpstr>Sumif</vt:lpstr>
      <vt:lpstr>Sumifs</vt:lpstr>
      <vt:lpstr>Countif</vt:lpstr>
      <vt:lpstr>Countifs</vt:lpstr>
      <vt:lpstr>Case Study 3</vt:lpstr>
      <vt:lpstr>Case Study 4</vt:lpstr>
      <vt:lpstr>Case Study 5</vt:lpstr>
      <vt:lpstr>Case Study 6 </vt:lpstr>
      <vt:lpstr>Case Study 7</vt:lpstr>
      <vt:lpstr>Case Study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Raju Avishetti</cp:lastModifiedBy>
  <dcterms:created xsi:type="dcterms:W3CDTF">2023-09-20T06:19:54Z</dcterms:created>
  <dcterms:modified xsi:type="dcterms:W3CDTF">2026-01-10T07:31:17Z</dcterms:modified>
</cp:coreProperties>
</file>